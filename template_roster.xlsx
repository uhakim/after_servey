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4-4" sheetId="1" state="visible" r:id="rId1"/>
    <sheet xmlns:r="http://schemas.openxmlformats.org/officeDocument/2006/relationships" name="Sheet1" sheetId="2" state="visible" r:id="rId2"/>
  </sheets>
  <definedNames>
    <definedName name="_xlnm.Print_Titles" localSheetId="0">'4-4'!$1:$1</definedName>
    <definedName name="_xlnm.Print_Area" localSheetId="0">'4-4'!$A$1:$J$47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19"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1"/>
      <sz val="12"/>
      <scheme val="major"/>
    </font>
    <font>
      <name val="맑은 고딕"/>
      <charset val="129"/>
      <family val="3"/>
      <b val="1"/>
      <color theme="1"/>
      <sz val="10"/>
      <scheme val="major"/>
    </font>
    <font>
      <name val="맑은 고딕"/>
      <charset val="129"/>
      <family val="3"/>
      <color theme="1"/>
      <sz val="16"/>
      <scheme val="major"/>
    </font>
    <font>
      <name val="맑은 고딕"/>
      <charset val="129"/>
      <family val="3"/>
      <b val="1"/>
      <color theme="1"/>
      <sz val="16"/>
      <scheme val="maj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color theme="1"/>
      <sz val="12"/>
      <scheme val="major"/>
    </font>
    <font>
      <name val="맑은 고딕"/>
      <charset val="129"/>
      <family val="3"/>
      <b val="1"/>
      <color theme="1"/>
      <sz val="20"/>
      <scheme val="major"/>
    </font>
    <font>
      <name val="맑은 고딕"/>
      <charset val="129"/>
      <family val="3"/>
      <b val="1"/>
      <color theme="1"/>
      <sz val="25"/>
      <scheme val="major"/>
    </font>
    <font>
      <name val="맑은 고딕"/>
      <charset val="129"/>
      <family val="3"/>
      <color theme="1"/>
      <sz val="12"/>
    </font>
    <font>
      <name val="강원교육튼튼"/>
      <charset val="129"/>
      <family val="1"/>
      <b val="1"/>
      <color theme="1"/>
      <sz val="16"/>
    </font>
    <font>
      <name val="맑은 고딕"/>
      <charset val="129"/>
      <family val="3"/>
      <b val="1"/>
      <color theme="1"/>
      <sz val="14"/>
      <scheme val="major"/>
    </font>
    <font>
      <name val="강원교육튼튼"/>
      <charset val="129"/>
      <family val="1"/>
      <b val="1"/>
      <color theme="1"/>
      <sz val="11"/>
    </font>
    <font>
      <name val="맑은 고딕"/>
      <charset val="129"/>
      <family val="3"/>
      <b val="1"/>
      <color theme="1"/>
      <sz val="13"/>
      <scheme val="major"/>
    </font>
    <font>
      <name val="맑은 고딕"/>
      <charset val="129"/>
      <family val="3"/>
      <b val="1"/>
      <color theme="1"/>
      <sz val="28"/>
      <scheme val="major"/>
    </font>
    <font>
      <name val="맑은 고딕"/>
      <charset val="129"/>
      <family val="3"/>
      <b val="1"/>
      <color theme="1"/>
      <sz val="11"/>
      <scheme val="maj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1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 shrinkToFit="1"/>
    </xf>
    <xf numFmtId="0" fontId="8" fillId="0" borderId="1" applyAlignment="1" pivotButton="0" quotePrefix="0" xfId="0">
      <alignment horizontal="left" vertical="center" shrinkToFi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shrinkToFit="1"/>
    </xf>
    <xf numFmtId="49" fontId="4" fillId="0" borderId="2" applyAlignment="1" pivotButton="0" quotePrefix="0" xfId="0">
      <alignment horizontal="center" vertical="center" wrapText="1"/>
    </xf>
    <xf numFmtId="164" fontId="9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 shrinkToFit="1"/>
    </xf>
    <xf numFmtId="0" fontId="6" fillId="0" borderId="5" applyAlignment="1" pivotButton="0" quotePrefix="0" xfId="0">
      <alignment horizontal="center" vertical="center" wrapText="1" shrinkToFit="1"/>
    </xf>
    <xf numFmtId="0" fontId="7" fillId="0" borderId="6" applyAlignment="1" pivotButton="0" quotePrefix="0" xfId="0">
      <alignment horizontal="center" vertical="center" wrapText="1" shrinkToFit="1"/>
    </xf>
    <xf numFmtId="0" fontId="7" fillId="0" borderId="7" applyAlignment="1" pivotButton="0" quotePrefix="0" xfId="0">
      <alignment horizontal="center" vertical="center" wrapText="1" shrinkToFit="1"/>
    </xf>
    <xf numFmtId="0" fontId="8" fillId="0" borderId="2" applyAlignment="1" pivotButton="0" quotePrefix="0" xfId="0">
      <alignment horizontal="left" vertical="center" shrinkToFit="1"/>
    </xf>
    <xf numFmtId="0" fontId="9" fillId="0" borderId="3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shrinkToFit="1"/>
    </xf>
    <xf numFmtId="0" fontId="9" fillId="0" borderId="2" applyAlignment="1" pivotButton="0" quotePrefix="0" xfId="0">
      <alignment horizontal="center" vertical="center" wrapText="1"/>
    </xf>
    <xf numFmtId="49" fontId="4" fillId="0" borderId="8" applyAlignment="1" pivotButton="0" quotePrefix="0" xfId="0">
      <alignment horizontal="center" vertical="center" wrapText="1"/>
    </xf>
    <xf numFmtId="164" fontId="9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 shrinkToFit="1"/>
    </xf>
    <xf numFmtId="0" fontId="6" fillId="0" borderId="11" applyAlignment="1" pivotButton="0" quotePrefix="0" xfId="0">
      <alignment horizontal="center" vertical="center" wrapText="1" shrinkToFit="1"/>
    </xf>
    <xf numFmtId="0" fontId="7" fillId="0" borderId="12" applyAlignment="1" pivotButton="0" quotePrefix="0" xfId="0">
      <alignment horizontal="center" vertical="center" wrapText="1" shrinkToFit="1"/>
    </xf>
    <xf numFmtId="0" fontId="7" fillId="0" borderId="13" applyAlignment="1" pivotButton="0" quotePrefix="0" xfId="0">
      <alignment horizontal="center" vertical="center" wrapText="1" shrinkToFit="1"/>
    </xf>
    <xf numFmtId="0" fontId="8" fillId="0" borderId="8" applyAlignment="1" pivotButton="0" quotePrefix="0" xfId="0">
      <alignment horizontal="left" vertical="center" shrinkToFit="1"/>
    </xf>
    <xf numFmtId="0" fontId="9" fillId="0" borderId="9" applyAlignment="1" pivotButton="0" quotePrefix="0" xfId="0">
      <alignment horizontal="center" vertical="center" wrapText="1" shrinkToFit="1"/>
    </xf>
    <xf numFmtId="0" fontId="11" fillId="0" borderId="8" applyAlignment="1" pivotButton="0" quotePrefix="0" xfId="0">
      <alignment horizontal="center" vertical="center" shrinkToFit="1"/>
    </xf>
    <xf numFmtId="0" fontId="9" fillId="0" borderId="8" applyAlignment="1" pivotButton="0" quotePrefix="0" xfId="0">
      <alignment horizontal="center" vertical="center" wrapText="1"/>
    </xf>
    <xf numFmtId="14" fontId="9" fillId="0" borderId="9" applyAlignment="1" pivotButton="0" quotePrefix="0" xfId="0">
      <alignment horizontal="center" vertical="center" wrapText="1" shrinkToFit="1"/>
    </xf>
    <xf numFmtId="49" fontId="4" fillId="0" borderId="8" applyAlignment="1" pivotButton="0" quotePrefix="0" xfId="0">
      <alignment horizontal="center" vertical="center" shrinkToFit="1"/>
    </xf>
    <xf numFmtId="0" fontId="6" fillId="0" borderId="1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14" fontId="9" fillId="0" borderId="9" applyAlignment="1" pivotButton="0" quotePrefix="0" xfId="0">
      <alignment horizontal="center" vertical="center" wrapText="1"/>
    </xf>
    <xf numFmtId="0" fontId="11" fillId="2" borderId="8" applyAlignment="1" pivotButton="0" quotePrefix="0" xfId="0">
      <alignment horizontal="center" vertical="center" shrinkToFit="1"/>
    </xf>
    <xf numFmtId="0" fontId="12" fillId="2" borderId="0" applyAlignment="1" pivotButton="0" quotePrefix="0" xfId="0">
      <alignment vertical="center"/>
    </xf>
    <xf numFmtId="49" fontId="4" fillId="2" borderId="8" applyAlignment="1" pivotButton="0" quotePrefix="0" xfId="0">
      <alignment horizontal="center" vertical="center" shrinkToFit="1"/>
    </xf>
    <xf numFmtId="0" fontId="6" fillId="2" borderId="10" applyAlignment="1" pivotButton="0" quotePrefix="0" xfId="0">
      <alignment horizontal="center" vertical="center" wrapText="1"/>
    </xf>
    <xf numFmtId="0" fontId="6" fillId="2" borderId="11" applyAlignment="1" pivotButton="0" quotePrefix="0" xfId="0">
      <alignment horizontal="center" vertical="center" wrapText="1"/>
    </xf>
    <xf numFmtId="0" fontId="7" fillId="2" borderId="12" applyAlignment="1" pivotButton="0" quotePrefix="0" xfId="0">
      <alignment horizontal="center" vertical="center" wrapText="1" shrinkToFit="1"/>
    </xf>
    <xf numFmtId="0" fontId="7" fillId="2" borderId="13" applyAlignment="1" pivotButton="0" quotePrefix="0" xfId="0">
      <alignment horizontal="center" vertical="center" wrapText="1" shrinkToFit="1"/>
    </xf>
    <xf numFmtId="0" fontId="8" fillId="2" borderId="8" applyAlignment="1" applyProtection="1" pivotButton="0" quotePrefix="0" xfId="0">
      <alignment horizontal="left" vertical="center" shrinkToFit="1"/>
      <protection locked="0" hidden="0"/>
    </xf>
    <xf numFmtId="14" fontId="9" fillId="2" borderId="9" applyAlignment="1" pivotButton="0" quotePrefix="0" xfId="0">
      <alignment horizontal="center" vertical="center" wrapText="1"/>
    </xf>
    <xf numFmtId="0" fontId="9" fillId="2" borderId="8" applyAlignment="1" pivotButton="0" quotePrefix="0" xfId="0">
      <alignment horizontal="center" vertical="center" wrapText="1"/>
    </xf>
    <xf numFmtId="0" fontId="8" fillId="2" borderId="8" applyAlignment="1" pivotButton="0" quotePrefix="0" xfId="0">
      <alignment horizontal="left" vertical="center" shrinkToFit="1"/>
    </xf>
    <xf numFmtId="0" fontId="6" fillId="2" borderId="16" applyAlignment="1" pivotButton="0" quotePrefix="0" xfId="0">
      <alignment horizontal="center" vertical="center" wrapText="1"/>
    </xf>
    <xf numFmtId="0" fontId="6" fillId="2" borderId="17" applyAlignment="1" pivotButton="0" quotePrefix="0" xfId="0">
      <alignment horizontal="center" vertical="center" wrapText="1"/>
    </xf>
    <xf numFmtId="0" fontId="7" fillId="2" borderId="18" applyAlignment="1" pivotButton="0" quotePrefix="0" xfId="0">
      <alignment horizontal="center" vertical="center" wrapText="1" shrinkToFit="1"/>
    </xf>
    <xf numFmtId="0" fontId="7" fillId="2" borderId="19" applyAlignment="1" pivotButton="0" quotePrefix="0" xfId="0">
      <alignment horizontal="center" vertical="center" wrapText="1" shrinkToFit="1"/>
    </xf>
    <xf numFmtId="14" fontId="9" fillId="2" borderId="15" applyAlignment="1" pivotButton="0" quotePrefix="0" xfId="0">
      <alignment horizontal="center" vertical="center" wrapText="1"/>
    </xf>
    <xf numFmtId="0" fontId="11" fillId="2" borderId="14" applyAlignment="1" pivotButton="0" quotePrefix="0" xfId="0">
      <alignment horizontal="center" vertical="center" shrinkToFit="1"/>
    </xf>
    <xf numFmtId="0" fontId="9" fillId="2" borderId="14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 wrapText="1" shrinkToFit="1"/>
    </xf>
    <xf numFmtId="0" fontId="10" fillId="0" borderId="5" applyAlignment="1" pivotButton="0" quotePrefix="0" xfId="0">
      <alignment horizontal="center" vertical="center" wrapText="1" shrinkToFit="1"/>
    </xf>
    <xf numFmtId="0" fontId="10" fillId="0" borderId="6" applyAlignment="1" pivotButton="0" quotePrefix="0" xfId="0">
      <alignment horizontal="center" vertical="center" wrapText="1" shrinkToFit="1"/>
    </xf>
    <xf numFmtId="0" fontId="10" fillId="0" borderId="7" applyAlignment="1" pivotButton="0" quotePrefix="0" xfId="0">
      <alignment horizontal="center" vertical="center" wrapText="1" shrinkToFit="1"/>
    </xf>
    <xf numFmtId="0" fontId="15" fillId="0" borderId="0" applyAlignment="1" pivotButton="0" quotePrefix="0" xfId="0">
      <alignment vertical="center"/>
    </xf>
    <xf numFmtId="49" fontId="9" fillId="0" borderId="0" applyAlignment="1" pivotButton="0" quotePrefix="0" xfId="0">
      <alignment vertical="center" wrapText="1" shrinkToFit="1"/>
    </xf>
    <xf numFmtId="0" fontId="16" fillId="0" borderId="0" applyAlignment="1" pivotButton="0" quotePrefix="0" xfId="0">
      <alignment vertical="center" wrapText="1" shrinkToFit="1"/>
    </xf>
    <xf numFmtId="0" fontId="10" fillId="0" borderId="0" applyAlignment="1" pivotButton="0" quotePrefix="0" xfId="0">
      <alignment horizontal="center" vertical="center" wrapText="1" shrinkToFit="1"/>
    </xf>
    <xf numFmtId="49" fontId="4" fillId="2" borderId="2" applyAlignment="1" pivotButton="0" quotePrefix="0" xfId="0">
      <alignment horizontal="center" vertical="center" wrapText="1" shrinkToFit="1"/>
    </xf>
    <xf numFmtId="0" fontId="9" fillId="2" borderId="3" applyAlignment="1" pivotButton="0" quotePrefix="0" xfId="0">
      <alignment horizontal="center" vertical="center" wrapText="1" shrinkToFit="1"/>
    </xf>
    <xf numFmtId="0" fontId="6" fillId="2" borderId="4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 shrinkToFit="1"/>
    </xf>
    <xf numFmtId="0" fontId="7" fillId="2" borderId="7" applyAlignment="1" pivotButton="0" quotePrefix="0" xfId="0">
      <alignment horizontal="center" vertical="center" wrapText="1" shrinkToFit="1"/>
    </xf>
    <xf numFmtId="0" fontId="8" fillId="2" borderId="2" applyAlignment="1" pivotButton="0" quotePrefix="0" xfId="0">
      <alignment horizontal="left" vertical="center" shrinkToFit="1"/>
    </xf>
    <xf numFmtId="14" fontId="9" fillId="2" borderId="3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shrinkToFit="1"/>
    </xf>
    <xf numFmtId="49" fontId="4" fillId="2" borderId="8" applyAlignment="1" pivotButton="0" quotePrefix="0" xfId="0">
      <alignment horizontal="center" vertical="center" wrapText="1" shrinkToFit="1"/>
    </xf>
    <xf numFmtId="0" fontId="9" fillId="2" borderId="9" applyAlignment="1" pivotButton="0" quotePrefix="0" xfId="0">
      <alignment horizontal="center" vertical="center" wrapText="1" shrinkToFit="1"/>
    </xf>
    <xf numFmtId="49" fontId="4" fillId="2" borderId="14" applyAlignment="1" pivotButton="0" quotePrefix="0" xfId="0">
      <alignment horizontal="center" vertical="center" wrapText="1" shrinkToFit="1"/>
    </xf>
    <xf numFmtId="0" fontId="9" fillId="2" borderId="15" applyAlignment="1" pivotButton="0" quotePrefix="0" xfId="0">
      <alignment horizontal="center" vertical="center" wrapText="1" shrinkToFit="1"/>
    </xf>
    <xf numFmtId="0" fontId="8" fillId="2" borderId="14" applyAlignment="1" pivotButton="0" quotePrefix="0" xfId="0">
      <alignment horizontal="left" vertical="center" shrinkToFit="1"/>
    </xf>
    <xf numFmtId="0" fontId="9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vertical="center"/>
    </xf>
    <xf numFmtId="49" fontId="4" fillId="2" borderId="8" applyAlignment="1" pivotButton="0" quotePrefix="0" xfId="0">
      <alignment horizontal="center" vertical="center" wrapText="1"/>
    </xf>
    <xf numFmtId="0" fontId="11" fillId="2" borderId="28" applyAlignment="1" pivotButton="0" quotePrefix="0" xfId="0">
      <alignment horizontal="center" vertical="center" shrinkToFit="1"/>
    </xf>
    <xf numFmtId="0" fontId="11" fillId="2" borderId="29" applyAlignment="1" pivotButton="0" quotePrefix="0" xfId="0">
      <alignment horizontal="center" vertical="center" shrinkToFit="1"/>
    </xf>
    <xf numFmtId="49" fontId="4" fillId="2" borderId="29" applyAlignment="1" pivotButton="0" quotePrefix="0" xfId="0">
      <alignment horizontal="center" vertical="center" shrinkToFit="1"/>
    </xf>
    <xf numFmtId="0" fontId="2" fillId="0" borderId="30" applyAlignment="1" pivotButton="0" quotePrefix="0" xfId="0">
      <alignment vertical="center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7" fillId="2" borderId="34" applyAlignment="1" pivotButton="0" quotePrefix="0" xfId="0">
      <alignment horizontal="center" vertical="center" wrapText="1"/>
    </xf>
    <xf numFmtId="0" fontId="7" fillId="2" borderId="35" applyAlignment="1" pivotButton="0" quotePrefix="0" xfId="0">
      <alignment horizontal="center" vertical="center" wrapText="1"/>
    </xf>
    <xf numFmtId="0" fontId="8" fillId="2" borderId="31" applyAlignment="1" pivotButton="0" quotePrefix="0" xfId="0">
      <alignment horizontal="left" vertical="center" shrinkToFit="1"/>
    </xf>
    <xf numFmtId="14" fontId="9" fillId="2" borderId="36" applyAlignment="1" pivotButton="0" quotePrefix="0" xfId="0">
      <alignment horizontal="center" vertical="center" wrapText="1"/>
    </xf>
    <xf numFmtId="0" fontId="11" fillId="2" borderId="31" applyAlignment="1" pivotButton="0" quotePrefix="0" xfId="0">
      <alignment horizontal="center" vertical="center" shrinkToFit="1"/>
    </xf>
    <xf numFmtId="0" fontId="1" fillId="0" borderId="0" applyAlignment="1" pivotButton="0" quotePrefix="0" xfId="1">
      <alignment vertical="center"/>
    </xf>
    <xf numFmtId="0" fontId="18" fillId="2" borderId="15" applyAlignment="1" pivotButton="0" quotePrefix="0" xfId="0">
      <alignment horizontal="center" vertical="center" wrapText="1" shrinkToFit="1"/>
    </xf>
    <xf numFmtId="0" fontId="10" fillId="0" borderId="22" applyAlignment="1" pivotButton="0" quotePrefix="0" xfId="0">
      <alignment horizontal="center" vertical="center" wrapText="1" shrinkToFit="1"/>
    </xf>
    <xf numFmtId="0" fontId="10" fillId="0" borderId="3" applyAlignment="1" pivotButton="0" quotePrefix="0" xfId="0">
      <alignment horizontal="center" vertical="center" wrapText="1" shrinkToFit="1"/>
    </xf>
    <xf numFmtId="49" fontId="14" fillId="0" borderId="21" applyAlignment="1" pivotButton="0" quotePrefix="0" xfId="0">
      <alignment horizontal="center" vertical="center" wrapText="1" shrinkToFit="1"/>
    </xf>
    <xf numFmtId="49" fontId="14" fillId="0" borderId="20" applyAlignment="1" pivotButton="0" quotePrefix="0" xfId="0">
      <alignment horizontal="center" vertical="center" wrapText="1" shrinkToFit="1"/>
    </xf>
    <xf numFmtId="0" fontId="10" fillId="0" borderId="0" applyAlignment="1" pivotButton="0" quotePrefix="0" xfId="0">
      <alignment horizontal="center" vertical="center" wrapText="1" shrinkToFit="1"/>
    </xf>
    <xf numFmtId="0" fontId="10" fillId="0" borderId="0" applyAlignment="1" pivotButton="0" quotePrefix="0" xfId="0">
      <alignment horizontal="right" vertical="center" wrapText="1" shrinkToFit="1"/>
    </xf>
    <xf numFmtId="0" fontId="10" fillId="0" borderId="21" applyAlignment="1" pivotButton="0" quotePrefix="0" xfId="0">
      <alignment horizontal="center" vertical="center" wrapText="1" shrinkToFit="1"/>
    </xf>
    <xf numFmtId="0" fontId="10" fillId="0" borderId="20" applyAlignment="1" pivotButton="0" quotePrefix="0" xfId="0">
      <alignment horizontal="center" vertical="center" wrapText="1" shrinkToFit="1"/>
    </xf>
    <xf numFmtId="0" fontId="10" fillId="0" borderId="27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7" fillId="0" borderId="22" applyAlignment="1" pivotButton="0" quotePrefix="0" xfId="0">
      <alignment horizontal="center" vertical="center" wrapText="1" shrinkToFit="1"/>
    </xf>
    <xf numFmtId="0" fontId="7" fillId="0" borderId="3" applyAlignment="1" pivotButton="0" quotePrefix="0" xfId="0">
      <alignment horizontal="center" vertical="center" wrapText="1"/>
    </xf>
    <xf numFmtId="0" fontId="10" fillId="0" borderId="21" applyAlignment="1" pivotButton="0" quotePrefix="0" xfId="0">
      <alignment horizontal="center" vertical="center" shrinkToFit="1"/>
    </xf>
    <xf numFmtId="0" fontId="10" fillId="0" borderId="20" applyAlignment="1" pivotButton="0" quotePrefix="0" xfId="0">
      <alignment horizontal="center" vertical="center" shrinkToFit="1"/>
    </xf>
    <xf numFmtId="0" fontId="10" fillId="0" borderId="26" applyAlignment="1" pivotButton="0" quotePrefix="0" xfId="0">
      <alignment horizontal="center" vertical="center" wrapText="1" shrinkToFit="1"/>
    </xf>
    <xf numFmtId="0" fontId="10" fillId="0" borderId="25" applyAlignment="1" pivotButton="0" quotePrefix="0" xfId="0">
      <alignment horizontal="center" vertical="center" wrapText="1" shrinkToFit="1"/>
    </xf>
    <xf numFmtId="0" fontId="10" fillId="0" borderId="24" applyAlignment="1" pivotButton="0" quotePrefix="0" xfId="0">
      <alignment horizontal="center" vertical="center" wrapText="1" shrinkToFit="1"/>
    </xf>
    <xf numFmtId="0" fontId="10" fillId="0" borderId="23" applyAlignment="1" pivotButton="0" quotePrefix="0" xfId="0">
      <alignment horizontal="center" vertical="center" wrapText="1" shrinkToFit="1"/>
    </xf>
    <xf numFmtId="0" fontId="17" fillId="0" borderId="0" applyAlignment="1" pivotButton="0" quotePrefix="0" xfId="0">
      <alignment horizontal="center" vertical="center" wrapText="1" shrinkToFit="1"/>
    </xf>
    <xf numFmtId="0" fontId="10" fillId="0" borderId="37" applyAlignment="1" pivotButton="0" quotePrefix="0" xfId="0">
      <alignment horizontal="center" vertical="center" wrapText="1" shrinkToFit="1"/>
    </xf>
    <xf numFmtId="0" fontId="10" fillId="0" borderId="37" applyAlignment="1" pivotButton="0" quotePrefix="0" xfId="0">
      <alignment horizontal="center" vertical="center" shrinkToFit="1"/>
    </xf>
    <xf numFmtId="0" fontId="0" fillId="0" borderId="26" pivotButton="0" quotePrefix="0" xfId="0"/>
    <xf numFmtId="49" fontId="14" fillId="0" borderId="37" applyAlignment="1" pivotButton="0" quotePrefix="0" xfId="0">
      <alignment horizontal="center" vertical="center" wrapText="1" shrinkToFit="1"/>
    </xf>
    <xf numFmtId="0" fontId="0" fillId="0" borderId="20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pivotButton="0" quotePrefix="0" xfId="0"/>
    <xf numFmtId="164" fontId="9" fillId="0" borderId="9" applyAlignment="1" pivotButton="0" quotePrefix="0" xfId="0">
      <alignment horizontal="center" vertical="center" wrapText="1"/>
    </xf>
    <xf numFmtId="164" fontId="9" fillId="0" borderId="3" applyAlignment="1" pivotButton="0" quotePrefix="0" xfId="0">
      <alignment horizontal="center" vertical="center" wrapText="1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tabSelected="1" zoomScaleNormal="100" zoomScaleSheetLayoutView="100" zoomScalePageLayoutView="42" workbookViewId="0">
      <selection activeCell="A1" sqref="A1:J1"/>
    </sheetView>
  </sheetViews>
  <sheetFormatPr baseColWidth="8" defaultColWidth="0" defaultRowHeight="0" customHeight="1" zeroHeight="1"/>
  <cols>
    <col width="5" customWidth="1" style="7" min="1" max="1"/>
    <col width="15.625" customWidth="1" style="8" min="2" max="2"/>
    <col width="12.625" customWidth="1" style="7" min="3" max="3"/>
    <col width="65.875" customWidth="1" style="6" min="4" max="4"/>
    <col width="15.625" customWidth="1" style="5" min="5" max="6"/>
    <col width="20.75" customWidth="1" style="4" min="7" max="8"/>
    <col width="11.75" customWidth="1" style="3" min="9" max="9"/>
    <col width="8" customWidth="1" style="2" min="10" max="10"/>
    <col width="1.75" customWidth="1" style="1" min="11" max="11"/>
    <col hidden="1" width="1.75" customWidth="1" style="1" min="12" max="16384"/>
  </cols>
  <sheetData>
    <row r="1" ht="45" customFormat="1" customHeight="1" s="57">
      <c r="A1" s="109" t="inlineStr">
        <is>
          <t>2026학년도 동성초등학교 학생일람표</t>
        </is>
      </c>
    </row>
    <row r="2" ht="35.1" customFormat="1" customHeight="1" s="57" thickBot="1">
      <c r="A2" s="95" t="inlineStr">
        <is>
          <t>여</t>
        </is>
      </c>
      <c r="C2" s="96" t="inlineStr">
        <is>
          <t xml:space="preserve">    4학년      4반     담임  : </t>
        </is>
      </c>
      <c r="H2" s="95" t="n"/>
      <c r="I2" s="59" t="n"/>
      <c r="J2" s="58" t="n"/>
    </row>
    <row r="3" ht="35.1" customFormat="1" customHeight="1" s="52">
      <c r="A3" s="110" t="inlineStr">
        <is>
          <t>번
호</t>
        </is>
      </c>
      <c r="B3" s="99" t="inlineStr">
        <is>
          <t>성   명</t>
        </is>
      </c>
      <c r="C3" s="101" t="inlineStr">
        <is>
          <t>생년월일</t>
        </is>
      </c>
      <c r="D3" s="111" t="inlineStr">
        <is>
          <t>주소(도로명주소)</t>
        </is>
      </c>
      <c r="E3" s="105" t="inlineStr">
        <is>
          <t>보호자</t>
        </is>
      </c>
      <c r="F3" s="112" t="n"/>
      <c r="G3" s="107" t="inlineStr">
        <is>
          <t>연락처</t>
        </is>
      </c>
      <c r="H3" s="112" t="n"/>
      <c r="I3" s="91" t="inlineStr">
        <is>
          <t>형제
관계</t>
        </is>
      </c>
      <c r="J3" s="113" t="inlineStr">
        <is>
          <t>학교
등교차</t>
        </is>
      </c>
    </row>
    <row r="4" ht="35.1" customFormat="1" customHeight="1" s="52" thickBot="1">
      <c r="A4" s="114" t="n"/>
      <c r="B4" s="115" t="n"/>
      <c r="C4" s="116" t="n"/>
      <c r="D4" s="114" t="n"/>
      <c r="E4" s="56" t="inlineStr">
        <is>
          <t>부</t>
        </is>
      </c>
      <c r="F4" s="55" t="inlineStr">
        <is>
          <t>모</t>
        </is>
      </c>
      <c r="G4" s="54" t="inlineStr">
        <is>
          <t>부</t>
        </is>
      </c>
      <c r="H4" s="53" t="inlineStr">
        <is>
          <t>모</t>
        </is>
      </c>
      <c r="I4" s="116" t="n"/>
      <c r="J4" s="114" t="n"/>
    </row>
    <row r="5" ht="35.1" customFormat="1" customHeight="1" s="81">
      <c r="A5" s="75" t="n">
        <v>1</v>
      </c>
      <c r="B5" s="88" t="n"/>
      <c r="C5" s="87" t="n"/>
      <c r="D5" s="86" t="n"/>
      <c r="E5" s="85" t="n"/>
      <c r="F5" s="84" t="n"/>
      <c r="G5" s="83" t="n"/>
      <c r="H5" s="82" t="n"/>
      <c r="I5" s="73" t="n"/>
      <c r="J5" s="80" t="n"/>
    </row>
    <row r="6" ht="35.1" customHeight="1" s="117">
      <c r="A6" s="28" t="n">
        <v>2</v>
      </c>
      <c r="B6" s="79" t="n"/>
      <c r="C6" s="87" t="n"/>
      <c r="D6" s="86" t="n"/>
      <c r="E6" s="85" t="n"/>
      <c r="F6" s="84" t="n"/>
      <c r="G6" s="83" t="n"/>
      <c r="H6" s="82" t="n"/>
      <c r="I6" s="90" t="n"/>
      <c r="J6" s="80" t="n"/>
    </row>
    <row r="7" ht="35.1" customHeight="1" s="117">
      <c r="A7" s="28" t="n">
        <v>3</v>
      </c>
      <c r="B7" s="79" t="n"/>
      <c r="C7" s="87" t="n"/>
      <c r="D7" s="86" t="n"/>
      <c r="E7" s="85" t="n"/>
      <c r="F7" s="84" t="n"/>
      <c r="G7" s="83" t="n"/>
      <c r="H7" s="82" t="n"/>
      <c r="I7" s="73" t="n"/>
      <c r="J7" s="80" t="n"/>
    </row>
    <row r="8" ht="35.1" customHeight="1" s="117">
      <c r="A8" s="28" t="n">
        <v>4</v>
      </c>
      <c r="B8" s="79" t="n"/>
      <c r="C8" s="87" t="n"/>
      <c r="D8" s="86" t="n"/>
      <c r="E8" s="85" t="n"/>
      <c r="F8" s="84" t="n"/>
      <c r="G8" s="83" t="n"/>
      <c r="H8" s="82" t="n"/>
      <c r="I8" s="73" t="n"/>
      <c r="J8" s="80" t="n"/>
    </row>
    <row r="9" ht="35.1" customHeight="1" s="117">
      <c r="A9" s="28" t="n">
        <v>5</v>
      </c>
      <c r="B9" s="79" t="n"/>
      <c r="C9" s="87" t="n"/>
      <c r="D9" s="86" t="n"/>
      <c r="E9" s="85" t="n"/>
      <c r="F9" s="84" t="n"/>
      <c r="G9" s="83" t="n"/>
      <c r="H9" s="82" t="n"/>
      <c r="I9" s="73" t="n"/>
      <c r="J9" s="80" t="n"/>
    </row>
    <row r="10" ht="35.1" customHeight="1" s="117">
      <c r="A10" s="28" t="n">
        <v>6</v>
      </c>
      <c r="B10" s="79" t="n"/>
      <c r="C10" s="87" t="n"/>
      <c r="D10" s="86" t="n"/>
      <c r="E10" s="85" t="n"/>
      <c r="F10" s="84" t="n"/>
      <c r="G10" s="83" t="n"/>
      <c r="H10" s="82" t="n"/>
      <c r="I10" s="73" t="n"/>
      <c r="J10" s="80" t="n"/>
    </row>
    <row r="11" ht="35.1" customHeight="1" s="117">
      <c r="A11" s="28" t="n">
        <v>7</v>
      </c>
      <c r="B11" s="79" t="n"/>
      <c r="C11" s="87" t="n"/>
      <c r="D11" s="86" t="n"/>
      <c r="E11" s="85" t="n"/>
      <c r="F11" s="84" t="n"/>
      <c r="G11" s="83" t="n"/>
      <c r="H11" s="82" t="n"/>
      <c r="I11" s="73" t="n"/>
      <c r="J11" s="80" t="n"/>
    </row>
    <row r="12" ht="35.1" customHeight="1" s="117">
      <c r="A12" s="28" t="n">
        <v>8</v>
      </c>
      <c r="B12" s="79" t="n"/>
      <c r="C12" s="87" t="n"/>
      <c r="D12" s="86" t="n"/>
      <c r="E12" s="85" t="n"/>
      <c r="F12" s="84" t="n"/>
      <c r="G12" s="83" t="n"/>
      <c r="H12" s="82" t="n"/>
      <c r="I12" s="73" t="n"/>
      <c r="J12" s="80" t="n"/>
    </row>
    <row r="13" ht="35.1" customHeight="1" s="117">
      <c r="A13" s="28" t="n">
        <v>9</v>
      </c>
      <c r="B13" s="79" t="n"/>
      <c r="C13" s="87" t="n"/>
      <c r="D13" s="86" t="n"/>
      <c r="E13" s="85" t="n"/>
      <c r="F13" s="84" t="n"/>
      <c r="G13" s="83" t="n"/>
      <c r="H13" s="82" t="n"/>
      <c r="I13" s="73" t="n"/>
      <c r="J13" s="80" t="n"/>
    </row>
    <row r="14" ht="35.1" customHeight="1" s="117">
      <c r="A14" s="28" t="n">
        <v>10</v>
      </c>
      <c r="B14" s="79" t="n"/>
      <c r="C14" s="87" t="n"/>
      <c r="D14" s="86" t="n"/>
      <c r="E14" s="85" t="n"/>
      <c r="F14" s="84" t="n"/>
      <c r="G14" s="83" t="n"/>
      <c r="H14" s="82" t="n"/>
      <c r="I14" s="73" t="n"/>
      <c r="J14" s="80" t="n"/>
    </row>
    <row r="15" ht="35.1" customHeight="1" s="117">
      <c r="A15" s="28" t="n">
        <v>11</v>
      </c>
      <c r="B15" s="79" t="n"/>
      <c r="C15" s="87" t="n"/>
      <c r="D15" s="86" t="n"/>
      <c r="E15" s="85" t="n"/>
      <c r="F15" s="84" t="n"/>
      <c r="G15" s="83" t="n"/>
      <c r="H15" s="82" t="n"/>
      <c r="I15" s="73" t="n"/>
      <c r="J15" s="80" t="n"/>
    </row>
    <row r="16" ht="35.1" customHeight="1" s="117">
      <c r="A16" s="28" t="n">
        <v>12</v>
      </c>
      <c r="B16" s="79" t="n"/>
      <c r="C16" s="87" t="n"/>
      <c r="D16" s="86" t="n"/>
      <c r="E16" s="85" t="n"/>
      <c r="F16" s="84" t="n"/>
      <c r="G16" s="83" t="n"/>
      <c r="H16" s="82" t="n"/>
      <c r="I16" s="73" t="n"/>
      <c r="J16" s="80" t="n"/>
    </row>
    <row r="17" ht="35.1" customHeight="1" s="117">
      <c r="A17" s="28" t="n">
        <v>13</v>
      </c>
      <c r="B17" s="79" t="n"/>
      <c r="C17" s="87" t="n"/>
      <c r="D17" s="86" t="n"/>
      <c r="E17" s="85" t="n"/>
      <c r="F17" s="84" t="n"/>
      <c r="G17" s="83" t="n"/>
      <c r="H17" s="82" t="n"/>
      <c r="I17" s="73" t="n"/>
      <c r="J17" s="80" t="n"/>
    </row>
    <row r="18" ht="35.1" customHeight="1" s="117">
      <c r="A18" s="28" t="n">
        <v>14</v>
      </c>
      <c r="B18" s="79" t="n"/>
      <c r="C18" s="87" t="n"/>
      <c r="D18" s="86" t="n"/>
      <c r="E18" s="85" t="n"/>
      <c r="F18" s="84" t="n"/>
      <c r="G18" s="83" t="n"/>
      <c r="H18" s="82" t="n"/>
      <c r="I18" s="73" t="n"/>
      <c r="J18" s="80" t="n"/>
    </row>
    <row r="19" ht="35.1" customHeight="1" s="117">
      <c r="A19" s="28" t="n">
        <v>15</v>
      </c>
      <c r="B19" s="79" t="n"/>
      <c r="C19" s="87" t="n"/>
      <c r="D19" s="86" t="n"/>
      <c r="E19" s="85" t="n"/>
      <c r="F19" s="84" t="n"/>
      <c r="G19" s="83" t="n"/>
      <c r="H19" s="82" t="n"/>
      <c r="I19" s="73" t="n"/>
      <c r="J19" s="80" t="n"/>
    </row>
    <row r="20" ht="35.1" customHeight="1" s="117">
      <c r="A20" s="28" t="n">
        <v>16</v>
      </c>
      <c r="B20" s="79" t="n"/>
      <c r="C20" s="42" t="n"/>
      <c r="D20" s="41" t="n"/>
      <c r="E20" s="40" t="n"/>
      <c r="F20" s="39" t="n"/>
      <c r="G20" s="38" t="n"/>
      <c r="H20" s="37" t="n"/>
      <c r="I20" s="71" t="n"/>
      <c r="J20" s="36" t="n"/>
    </row>
    <row r="21" ht="35.1" customFormat="1" customHeight="1" s="76">
      <c r="A21" s="28" t="n">
        <v>17</v>
      </c>
      <c r="B21" s="78" t="n"/>
      <c r="C21" s="42" t="n"/>
      <c r="D21" s="44" t="n"/>
      <c r="E21" s="40" t="n"/>
      <c r="F21" s="39" t="n"/>
      <c r="G21" s="38" t="n"/>
      <c r="H21" s="37" t="n"/>
      <c r="I21" s="71" t="n"/>
      <c r="J21" s="77" t="n"/>
    </row>
    <row r="22" ht="35.1" customHeight="1" s="117">
      <c r="A22" s="75" t="n">
        <v>18</v>
      </c>
      <c r="B22" s="50" t="n"/>
      <c r="C22" s="49" t="n"/>
      <c r="D22" s="74" t="n"/>
      <c r="E22" s="48" t="n"/>
      <c r="F22" s="47" t="n"/>
      <c r="G22" s="46" t="n"/>
      <c r="H22" s="45" t="n"/>
      <c r="I22" s="73" t="n"/>
      <c r="J22" s="72" t="n"/>
    </row>
    <row r="23" ht="35.1" customHeight="1" s="117">
      <c r="A23" s="28" t="n">
        <v>19</v>
      </c>
      <c r="B23" s="34" t="n"/>
      <c r="C23" s="42" t="n"/>
      <c r="D23" s="44" t="n"/>
      <c r="E23" s="40" t="n"/>
      <c r="F23" s="39" t="n"/>
      <c r="G23" s="38" t="n"/>
      <c r="H23" s="37" t="n"/>
      <c r="I23" s="71" t="n"/>
      <c r="J23" s="70" t="n"/>
    </row>
    <row r="24" ht="35.1" customHeight="1" s="117" thickBot="1">
      <c r="A24" s="18" t="n">
        <v>20</v>
      </c>
      <c r="B24" s="69" t="n"/>
      <c r="C24" s="68" t="n"/>
      <c r="D24" s="67" t="n"/>
      <c r="E24" s="66" t="n"/>
      <c r="F24" s="65" t="n"/>
      <c r="G24" s="64" t="n"/>
      <c r="H24" s="63" t="n"/>
      <c r="I24" s="62" t="n"/>
      <c r="J24" s="61" t="n"/>
    </row>
    <row r="25" ht="35.1" customFormat="1" customHeight="1" s="57" thickBot="1">
      <c r="A25" s="95" t="inlineStr">
        <is>
          <t>남</t>
        </is>
      </c>
      <c r="C25" s="96">
        <f>C2</f>
        <v/>
      </c>
      <c r="H25" s="95">
        <f>H2</f>
        <v/>
      </c>
      <c r="I25" s="59" t="n"/>
      <c r="J25" s="58" t="n"/>
    </row>
    <row r="26" ht="35.1" customFormat="1" customHeight="1" s="52">
      <c r="A26" s="110" t="inlineStr">
        <is>
          <t>번
호</t>
        </is>
      </c>
      <c r="B26" s="99" t="inlineStr">
        <is>
          <t>성   명</t>
        </is>
      </c>
      <c r="C26" s="101" t="inlineStr">
        <is>
          <t>생년월일</t>
        </is>
      </c>
      <c r="D26" s="111" t="inlineStr">
        <is>
          <t>주소(도로명주소)</t>
        </is>
      </c>
      <c r="E26" s="105" t="inlineStr">
        <is>
          <t>보호자</t>
        </is>
      </c>
      <c r="F26" s="112" t="n"/>
      <c r="G26" s="107" t="inlineStr">
        <is>
          <t>연락처</t>
        </is>
      </c>
      <c r="H26" s="112" t="n"/>
      <c r="I26" s="91" t="inlineStr">
        <is>
          <t>형제
관계</t>
        </is>
      </c>
      <c r="J26" s="113" t="inlineStr">
        <is>
          <t>학교
등교차</t>
        </is>
      </c>
    </row>
    <row r="27" ht="35.1" customFormat="1" customHeight="1" s="52" thickBot="1">
      <c r="A27" s="114" t="n"/>
      <c r="B27" s="115" t="n"/>
      <c r="C27" s="116" t="n"/>
      <c r="D27" s="114" t="n"/>
      <c r="E27" s="56" t="inlineStr">
        <is>
          <t>부</t>
        </is>
      </c>
      <c r="F27" s="55" t="inlineStr">
        <is>
          <t>모</t>
        </is>
      </c>
      <c r="G27" s="54" t="inlineStr">
        <is>
          <t>부</t>
        </is>
      </c>
      <c r="H27" s="53" t="inlineStr">
        <is>
          <t>모</t>
        </is>
      </c>
      <c r="I27" s="116" t="n"/>
      <c r="J27" s="114" t="n"/>
    </row>
    <row r="28" ht="35.1" customFormat="1" customHeight="1" s="35">
      <c r="A28" s="51" t="n">
        <v>41</v>
      </c>
      <c r="B28" s="50" t="n"/>
      <c r="C28" s="87" t="n"/>
      <c r="D28" s="86" t="n"/>
      <c r="E28" s="85" t="n"/>
      <c r="F28" s="84" t="n"/>
      <c r="G28" s="83" t="n"/>
      <c r="H28" s="82" t="n"/>
      <c r="I28" s="90" t="n"/>
      <c r="J28" s="80" t="n"/>
    </row>
    <row r="29" ht="35.1" customFormat="1" customHeight="1" s="35">
      <c r="A29" s="43" t="n">
        <v>42</v>
      </c>
      <c r="B29" s="34" t="n"/>
      <c r="C29" s="87" t="n"/>
      <c r="D29" s="86" t="n"/>
      <c r="E29" s="85" t="n"/>
      <c r="F29" s="84" t="n"/>
      <c r="G29" s="83" t="n"/>
      <c r="H29" s="82" t="n"/>
      <c r="I29" s="73" t="n"/>
      <c r="J29" s="80" t="n"/>
    </row>
    <row r="30" ht="35.1" customFormat="1" customHeight="1" s="35">
      <c r="A30" s="43" t="n">
        <v>43</v>
      </c>
      <c r="B30" s="34" t="n"/>
      <c r="C30" s="87" t="n"/>
      <c r="D30" s="86" t="n"/>
      <c r="E30" s="85" t="n"/>
      <c r="F30" s="84" t="n"/>
      <c r="G30" s="83" t="n"/>
      <c r="H30" s="82" t="n"/>
      <c r="I30" s="73" t="n"/>
      <c r="J30" s="80" t="n"/>
    </row>
    <row r="31" ht="35.1" customFormat="1" customHeight="1" s="35">
      <c r="A31" s="43" t="n">
        <v>44</v>
      </c>
      <c r="B31" s="34" t="n"/>
      <c r="C31" s="87" t="n"/>
      <c r="D31" s="86" t="n"/>
      <c r="E31" s="85" t="n"/>
      <c r="F31" s="84" t="n"/>
      <c r="G31" s="83" t="n"/>
      <c r="H31" s="82" t="n"/>
      <c r="I31" s="73" t="n"/>
      <c r="J31" s="80" t="n"/>
    </row>
    <row r="32" ht="35.1" customFormat="1" customHeight="1" s="35">
      <c r="A32" s="43" t="n">
        <v>45</v>
      </c>
      <c r="B32" s="34" t="n"/>
      <c r="C32" s="87" t="n"/>
      <c r="D32" s="86" t="n"/>
      <c r="E32" s="85" t="n"/>
      <c r="F32" s="84" t="n"/>
      <c r="G32" s="83" t="n"/>
      <c r="H32" s="82" t="n"/>
      <c r="I32" s="73" t="n"/>
      <c r="J32" s="80" t="n"/>
    </row>
    <row r="33" ht="35.1" customFormat="1" customHeight="1" s="35">
      <c r="A33" s="43" t="n">
        <v>46</v>
      </c>
      <c r="B33" s="34" t="n"/>
      <c r="C33" s="87" t="n"/>
      <c r="D33" s="86" t="n"/>
      <c r="E33" s="85" t="n"/>
      <c r="F33" s="84" t="n"/>
      <c r="G33" s="83" t="n"/>
      <c r="H33" s="82" t="n"/>
      <c r="I33" s="73" t="n"/>
      <c r="J33" s="80" t="n"/>
    </row>
    <row r="34" ht="35.1" customFormat="1" customHeight="1" s="35">
      <c r="A34" s="43" t="n">
        <v>47</v>
      </c>
      <c r="B34" s="34" t="n"/>
      <c r="C34" s="87" t="n"/>
      <c r="D34" s="86" t="n"/>
      <c r="E34" s="85" t="n"/>
      <c r="F34" s="84" t="n"/>
      <c r="G34" s="83" t="n"/>
      <c r="H34" s="82" t="n"/>
      <c r="I34" s="73" t="n"/>
      <c r="J34" s="80" t="n"/>
    </row>
    <row r="35" ht="35.1" customFormat="1" customHeight="1" s="35">
      <c r="A35" s="43" t="n">
        <v>48</v>
      </c>
      <c r="B35" s="34" t="n"/>
      <c r="C35" s="87" t="n"/>
      <c r="D35" s="86" t="n"/>
      <c r="E35" s="85" t="n"/>
      <c r="F35" s="84" t="n"/>
      <c r="G35" s="83" t="n"/>
      <c r="H35" s="82" t="n"/>
      <c r="I35" s="73" t="n"/>
      <c r="J35" s="80" t="n"/>
    </row>
    <row r="36" ht="35.1" customFormat="1" customHeight="1" s="35">
      <c r="A36" s="43" t="n">
        <v>49</v>
      </c>
      <c r="B36" s="34" t="n"/>
      <c r="C36" s="87" t="n"/>
      <c r="D36" s="86" t="n"/>
      <c r="E36" s="85" t="n"/>
      <c r="F36" s="84" t="n"/>
      <c r="G36" s="83" t="n"/>
      <c r="H36" s="82" t="n"/>
      <c r="I36" s="73" t="n"/>
      <c r="J36" s="80" t="n"/>
    </row>
    <row r="37" ht="35.1" customFormat="1" customHeight="1" s="35">
      <c r="A37" s="43" t="n">
        <v>50</v>
      </c>
      <c r="B37" s="34" t="n"/>
      <c r="C37" s="87" t="n"/>
      <c r="D37" s="86" t="n"/>
      <c r="E37" s="85" t="n"/>
      <c r="F37" s="84" t="n"/>
      <c r="G37" s="83" t="n"/>
      <c r="H37" s="82" t="n"/>
      <c r="I37" s="90" t="n"/>
      <c r="J37" s="80" t="n"/>
    </row>
    <row r="38" ht="35.1" customFormat="1" customHeight="1" s="35">
      <c r="A38" s="43" t="n">
        <v>51</v>
      </c>
      <c r="B38" s="34" t="n"/>
      <c r="C38" s="87" t="n"/>
      <c r="D38" s="86" t="n"/>
      <c r="E38" s="85" t="n"/>
      <c r="F38" s="84" t="n"/>
      <c r="G38" s="83" t="n"/>
      <c r="H38" s="82" t="n"/>
      <c r="I38" s="73" t="n"/>
      <c r="J38" s="80" t="n"/>
    </row>
    <row r="39" ht="35.1" customFormat="1" customHeight="1" s="35">
      <c r="A39" s="43" t="n">
        <v>52</v>
      </c>
      <c r="B39" s="34" t="n"/>
      <c r="C39" s="87" t="n"/>
      <c r="D39" s="86" t="n"/>
      <c r="E39" s="85" t="n"/>
      <c r="F39" s="84" t="n"/>
      <c r="G39" s="83" t="n"/>
      <c r="H39" s="82" t="n"/>
      <c r="I39" s="73" t="n"/>
      <c r="J39" s="80" t="n"/>
    </row>
    <row r="40" ht="35.1" customFormat="1" customHeight="1" s="35">
      <c r="A40" s="43" t="n">
        <v>53</v>
      </c>
      <c r="B40" s="34" t="n"/>
      <c r="C40" s="87" t="n"/>
      <c r="D40" s="86" t="n"/>
      <c r="E40" s="85" t="n"/>
      <c r="F40" s="84" t="n"/>
      <c r="G40" s="83" t="n"/>
      <c r="H40" s="82" t="n"/>
      <c r="I40" s="73" t="n"/>
      <c r="J40" s="80" t="n"/>
    </row>
    <row r="41" ht="35.1" customFormat="1" customHeight="1" s="35">
      <c r="A41" s="43" t="n">
        <v>54</v>
      </c>
      <c r="B41" s="34" t="n"/>
      <c r="C41" s="87" t="n"/>
      <c r="D41" s="86" t="n"/>
      <c r="E41" s="85" t="n"/>
      <c r="F41" s="84" t="n"/>
      <c r="G41" s="83" t="n"/>
      <c r="H41" s="82" t="n"/>
      <c r="I41" s="73" t="n"/>
      <c r="J41" s="80" t="n"/>
    </row>
    <row r="42" ht="35.1" customFormat="1" customHeight="1" s="35">
      <c r="A42" s="43" t="n">
        <v>55</v>
      </c>
      <c r="B42" s="34" t="n"/>
      <c r="C42" s="87" t="n"/>
      <c r="D42" s="86" t="n"/>
      <c r="E42" s="85" t="n"/>
      <c r="F42" s="84" t="n"/>
      <c r="G42" s="83" t="n"/>
      <c r="H42" s="82" t="n"/>
      <c r="I42" s="90" t="n"/>
      <c r="J42" s="80" t="n"/>
    </row>
    <row r="43" ht="35.1" customHeight="1" s="117">
      <c r="A43" s="28" t="n">
        <v>56</v>
      </c>
      <c r="B43" s="34" t="n"/>
      <c r="C43" s="33" t="n"/>
      <c r="D43" s="25" t="n"/>
      <c r="E43" s="24" t="n"/>
      <c r="F43" s="23" t="n"/>
      <c r="G43" s="32" t="n"/>
      <c r="H43" s="31" t="n"/>
      <c r="I43" s="118" t="n"/>
      <c r="J43" s="30" t="n"/>
    </row>
    <row r="44" ht="35.1" customHeight="1" s="117">
      <c r="A44" s="28" t="n">
        <v>57</v>
      </c>
      <c r="B44" s="27" t="n"/>
      <c r="C44" s="33" t="n"/>
      <c r="D44" s="25" t="n"/>
      <c r="E44" s="24" t="n"/>
      <c r="F44" s="23" t="n"/>
      <c r="G44" s="32" t="n"/>
      <c r="H44" s="31" t="n"/>
      <c r="I44" s="118" t="n"/>
      <c r="J44" s="30" t="n"/>
    </row>
    <row r="45" ht="35.1" customHeight="1" s="117">
      <c r="A45" s="28" t="n">
        <v>58</v>
      </c>
      <c r="B45" s="27" t="n"/>
      <c r="C45" s="29" t="n"/>
      <c r="D45" s="25" t="n"/>
      <c r="E45" s="24" t="n"/>
      <c r="F45" s="23" t="n"/>
      <c r="G45" s="22" t="n"/>
      <c r="H45" s="21" t="n"/>
      <c r="I45" s="118" t="n"/>
      <c r="J45" s="19" t="n"/>
    </row>
    <row r="46" ht="35.1" customHeight="1" s="117">
      <c r="A46" s="28" t="n">
        <v>59</v>
      </c>
      <c r="B46" s="27" t="n"/>
      <c r="C46" s="26" t="n"/>
      <c r="D46" s="25" t="n"/>
      <c r="E46" s="24" t="n"/>
      <c r="F46" s="23" t="n"/>
      <c r="G46" s="22" t="n"/>
      <c r="H46" s="21" t="n"/>
      <c r="I46" s="118" t="n"/>
      <c r="J46" s="19" t="n"/>
    </row>
    <row r="47" ht="35.1" customHeight="1" s="117" thickBot="1">
      <c r="A47" s="18" t="n">
        <v>60</v>
      </c>
      <c r="B47" s="17" t="n"/>
      <c r="C47" s="16" t="n"/>
      <c r="D47" s="15" t="n"/>
      <c r="E47" s="14" t="n"/>
      <c r="F47" s="13" t="n"/>
      <c r="G47" s="12" t="n"/>
      <c r="H47" s="11" t="n"/>
      <c r="I47" s="119" t="n"/>
      <c r="J47" s="9" t="n"/>
    </row>
  </sheetData>
  <mergeCells count="21">
    <mergeCell ref="B3:B4"/>
    <mergeCell ref="C26:C27"/>
    <mergeCell ref="I26:I27"/>
    <mergeCell ref="A25:B25"/>
    <mergeCell ref="A3:A4"/>
    <mergeCell ref="A26:A27"/>
    <mergeCell ref="C25:G25"/>
    <mergeCell ref="I3:I4"/>
    <mergeCell ref="D3:D4"/>
    <mergeCell ref="G3:H3"/>
    <mergeCell ref="J26:J27"/>
    <mergeCell ref="A1:J1"/>
    <mergeCell ref="A2:B2"/>
    <mergeCell ref="C2:G2"/>
    <mergeCell ref="J3:J4"/>
    <mergeCell ref="E26:F26"/>
    <mergeCell ref="G26:H26"/>
    <mergeCell ref="C3:C4"/>
    <mergeCell ref="D26:D27"/>
    <mergeCell ref="B26:B27"/>
    <mergeCell ref="E3:F3"/>
  </mergeCells>
  <printOptions horizontalCentered="1" verticalCentered="1"/>
  <pageMargins left="1.181102362204725" right="0.3937007874015748" top="0.1574803149606299" bottom="0.1574803149606299" header="0" footer="0"/>
  <pageSetup orientation="landscape" paperSize="9" scale="62" fitToHeight="0"/>
  <rowBreaks count="1" manualBreakCount="1">
    <brk id="24" min="0" max="10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129"/>
  <sheetViews>
    <sheetView workbookViewId="0">
      <selection activeCell="P15" sqref="P15"/>
    </sheetView>
  </sheetViews>
  <sheetFormatPr baseColWidth="8" defaultRowHeight="16.5"/>
  <cols>
    <col width="9" customWidth="1" style="89" min="1" max="16384"/>
  </cols>
  <sheetData>
    <row r="2">
      <c r="A2" s="89" t="n">
        <v>31</v>
      </c>
      <c r="B2" s="89">
        <f>_xlfn.TEXTJOIN(,,A2,D2)</f>
        <v/>
      </c>
      <c r="C2" s="89" t="n">
        <v>1</v>
      </c>
      <c r="D2" s="89">
        <f>IF(LEN(C2)=1,_xlfn.TEXTJOIN(,,0,C2),C2)</f>
        <v/>
      </c>
      <c r="E2" s="89" t="inlineStr">
        <is>
          <t>권준혁</t>
        </is>
      </c>
      <c r="F2" s="89" t="inlineStr">
        <is>
          <t>2015-08-26</t>
        </is>
      </c>
      <c r="G2" s="89" t="inlineStr">
        <is>
          <t>부산광역시 해운대구 해운대해변로 163 현대베네시티아파트 101동 2901호</t>
        </is>
      </c>
      <c r="H2" s="89" t="inlineStr">
        <is>
          <t>권세륜</t>
        </is>
      </c>
      <c r="I2" s="89" t="inlineStr">
        <is>
          <t>조선영</t>
        </is>
      </c>
      <c r="J2" s="89" t="inlineStr">
        <is>
          <t>010-9432-8264</t>
        </is>
      </c>
      <c r="K2" s="89" t="inlineStr">
        <is>
          <t>010-9363-8092</t>
        </is>
      </c>
      <c r="L2" s="89" t="inlineStr">
        <is>
          <t>2-3권준영</t>
        </is>
      </c>
      <c r="M2" s="89" t="inlineStr">
        <is>
          <t>2호</t>
        </is>
      </c>
    </row>
    <row r="3">
      <c r="A3" s="89" t="n">
        <v>31</v>
      </c>
      <c r="B3" s="89">
        <f>_xlfn.TEXTJOIN(,,A3,D3)</f>
        <v/>
      </c>
      <c r="C3" s="89" t="n">
        <v>2</v>
      </c>
      <c r="D3" s="89">
        <f>IF(LEN(C3)=1,_xlfn.TEXTJOIN(,,0,C3),C3)</f>
        <v/>
      </c>
      <c r="E3" s="89" t="inlineStr">
        <is>
          <t>김동건</t>
        </is>
      </c>
      <c r="F3" s="89" t="n">
        <v>42268</v>
      </c>
      <c r="G3" s="89" t="inlineStr">
        <is>
          <t>부산시 수영구 광안해변로 418, 101동 1003호 (민락동,센텀비치푸르지오)</t>
        </is>
      </c>
      <c r="H3" s="89" t="inlineStr">
        <is>
          <t>김혜수</t>
        </is>
      </c>
      <c r="I3" s="89" t="inlineStr">
        <is>
          <t>최소윤</t>
        </is>
      </c>
      <c r="J3" s="89" t="inlineStr">
        <is>
          <t>010-4722-0874</t>
        </is>
      </c>
      <c r="K3" s="89" t="inlineStr">
        <is>
          <t>010-4586-5122</t>
        </is>
      </c>
      <c r="L3" s="89" t="inlineStr">
        <is>
          <t>2-4 김주은</t>
        </is>
      </c>
      <c r="M3" s="89" t="inlineStr">
        <is>
          <t>12호</t>
        </is>
      </c>
    </row>
    <row r="4">
      <c r="A4" s="89" t="n">
        <v>31</v>
      </c>
      <c r="B4" s="89">
        <f>_xlfn.TEXTJOIN(,,A4,D4)</f>
        <v/>
      </c>
      <c r="C4" s="89" t="n">
        <v>3</v>
      </c>
      <c r="D4" s="89">
        <f>IF(LEN(C4)=1,_xlfn.TEXTJOIN(,,0,C4),C4)</f>
        <v/>
      </c>
      <c r="E4" s="89" t="inlineStr">
        <is>
          <t>김주한</t>
        </is>
      </c>
      <c r="F4" s="89" t="inlineStr">
        <is>
          <t>2015-05-04</t>
        </is>
      </c>
      <c r="G4" s="89" t="inlineStr">
        <is>
          <t>부산시 해운대구 우2동 센텀동로 25, 102-3602</t>
        </is>
      </c>
      <c r="H4" s="89" t="inlineStr">
        <is>
          <t>김경태</t>
        </is>
      </c>
      <c r="I4" s="89" t="inlineStr">
        <is>
          <t>한수이</t>
        </is>
      </c>
      <c r="J4" s="89" t="inlineStr">
        <is>
          <t>010-8563-4862</t>
        </is>
      </c>
      <c r="K4" s="89" t="inlineStr">
        <is>
          <t>010-3101-5357</t>
        </is>
      </c>
      <c r="L4" s="89" t="inlineStr">
        <is>
          <t>1-3 김주원</t>
        </is>
      </c>
      <c r="M4" s="89" t="inlineStr">
        <is>
          <t>3호</t>
        </is>
      </c>
    </row>
    <row r="5">
      <c r="A5" s="89" t="n">
        <v>31</v>
      </c>
      <c r="B5" s="89">
        <f>_xlfn.TEXTJOIN(,,A5,D5)</f>
        <v/>
      </c>
      <c r="C5" s="89" t="n">
        <v>4</v>
      </c>
      <c r="D5" s="89">
        <f>IF(LEN(C5)=1,_xlfn.TEXTJOIN(,,0,C5),C5)</f>
        <v/>
      </c>
      <c r="E5" s="89" t="inlineStr">
        <is>
          <t>김준희</t>
        </is>
      </c>
      <c r="F5" s="89" t="inlineStr">
        <is>
          <t>2015-06-30</t>
        </is>
      </c>
      <c r="G5" s="89" t="inlineStr">
        <is>
          <t>부산시 해운대구 달맞이길 43 이안해운대파일론 606호</t>
        </is>
      </c>
      <c r="H5" s="89" t="inlineStr">
        <is>
          <t>김동준</t>
        </is>
      </c>
      <c r="I5" s="89" t="inlineStr">
        <is>
          <t>박보라</t>
        </is>
      </c>
      <c r="J5" s="89" t="inlineStr">
        <is>
          <t>010-3917-3790</t>
        </is>
      </c>
      <c r="K5" s="89" t="inlineStr">
        <is>
          <t>010-3049-0107</t>
        </is>
      </c>
      <c r="L5" s="89" t="inlineStr"/>
      <c r="M5" s="89" t="inlineStr">
        <is>
          <t>1호</t>
        </is>
      </c>
    </row>
    <row r="6">
      <c r="A6" s="89" t="n">
        <v>31</v>
      </c>
      <c r="B6" s="89">
        <f>_xlfn.TEXTJOIN(,,A6,D6)</f>
        <v/>
      </c>
      <c r="C6" s="89" t="n">
        <v>5</v>
      </c>
      <c r="D6" s="89">
        <f>IF(LEN(C6)=1,_xlfn.TEXTJOIN(,,0,C6),C6)</f>
        <v/>
      </c>
      <c r="E6" s="89" t="inlineStr">
        <is>
          <t>박성빈</t>
        </is>
      </c>
      <c r="F6" s="89" t="inlineStr">
        <is>
          <t>2015-10-07</t>
        </is>
      </c>
      <c r="G6" s="89" t="inlineStr">
        <is>
          <t>마린시티2로 33, 102동 3909호 (우동,해운대두산위브더제니스)</t>
        </is>
      </c>
      <c r="H6" s="89" t="inlineStr">
        <is>
          <t>박판준</t>
        </is>
      </c>
      <c r="I6" s="89" t="inlineStr">
        <is>
          <t>이지영</t>
        </is>
      </c>
      <c r="J6" s="89" t="inlineStr">
        <is>
          <t>010-3697-8875</t>
        </is>
      </c>
      <c r="K6" s="89" t="inlineStr">
        <is>
          <t>010-4996-6823</t>
        </is>
      </c>
      <c r="L6" s="89" t="inlineStr">
        <is>
          <t>5-1 박수빈</t>
        </is>
      </c>
      <c r="M6" s="89" t="inlineStr">
        <is>
          <t>1호</t>
        </is>
      </c>
    </row>
    <row r="7">
      <c r="A7" s="89" t="n">
        <v>31</v>
      </c>
      <c r="B7" s="89">
        <f>_xlfn.TEXTJOIN(,,A7,D7)</f>
        <v/>
      </c>
      <c r="C7" s="89" t="n">
        <v>6</v>
      </c>
      <c r="D7" s="89">
        <f>IF(LEN(C7)=1,_xlfn.TEXTJOIN(,,0,C7),C7)</f>
        <v/>
      </c>
      <c r="E7" s="89" t="inlineStr">
        <is>
          <t>배예준</t>
        </is>
      </c>
      <c r="F7" s="89" t="inlineStr">
        <is>
          <t xml:space="preserve">2015-09-23 </t>
        </is>
      </c>
      <c r="G7" s="89" t="inlineStr">
        <is>
          <t>부산시 남구 수영로345  대연힐스테이트푸르지오 106동 2103호</t>
        </is>
      </c>
      <c r="H7" s="89" t="inlineStr">
        <is>
          <t>배경호</t>
        </is>
      </c>
      <c r="I7" s="89" t="inlineStr">
        <is>
          <t>김정은</t>
        </is>
      </c>
      <c r="J7" s="89" t="inlineStr">
        <is>
          <t>010-4800-4220</t>
        </is>
      </c>
      <c r="K7" s="89" t="inlineStr">
        <is>
          <t>010-8539-6517</t>
        </is>
      </c>
      <c r="L7" s="89" t="inlineStr"/>
      <c r="M7" s="89" t="inlineStr">
        <is>
          <t>7호</t>
        </is>
      </c>
    </row>
    <row r="8">
      <c r="A8" s="89" t="n">
        <v>31</v>
      </c>
      <c r="B8" s="89">
        <f>_xlfn.TEXTJOIN(,,A8,D8)</f>
        <v/>
      </c>
      <c r="C8" s="89" t="n">
        <v>7</v>
      </c>
      <c r="D8" s="89">
        <f>IF(LEN(C8)=1,_xlfn.TEXTJOIN(,,0,C8),C8)</f>
        <v/>
      </c>
      <c r="E8" s="89" t="inlineStr">
        <is>
          <t>배현준</t>
        </is>
      </c>
      <c r="F8" s="89" t="inlineStr">
        <is>
          <t>2015-02-03</t>
        </is>
      </c>
      <c r="G8" s="89" t="inlineStr">
        <is>
          <t>부산진구 백양대로208번길133, 203동 502호 (개금동,삼환아파트)</t>
        </is>
      </c>
      <c r="H8" s="89" t="inlineStr">
        <is>
          <t>배재용</t>
        </is>
      </c>
      <c r="I8" s="89" t="inlineStr">
        <is>
          <t>임지혜</t>
        </is>
      </c>
      <c r="J8" s="89" t="inlineStr">
        <is>
          <t>010-2697-9027</t>
        </is>
      </c>
      <c r="K8" s="89" t="inlineStr">
        <is>
          <t>010-2698-9027</t>
        </is>
      </c>
      <c r="L8" s="89" t="inlineStr"/>
      <c r="M8" s="89" t="inlineStr"/>
    </row>
    <row r="9">
      <c r="A9" s="89" t="n">
        <v>31</v>
      </c>
      <c r="B9" s="89">
        <f>_xlfn.TEXTJOIN(,,A9,D9)</f>
        <v/>
      </c>
      <c r="C9" s="89" t="n">
        <v>8</v>
      </c>
      <c r="D9" s="89">
        <f>IF(LEN(C9)=1,_xlfn.TEXTJOIN(,,0,C9),C9)</f>
        <v/>
      </c>
      <c r="E9" s="89" t="inlineStr">
        <is>
          <t>우정훈</t>
        </is>
      </c>
      <c r="F9" s="89" t="inlineStr">
        <is>
          <t>2015-11-21</t>
        </is>
      </c>
      <c r="G9" s="89" t="inlineStr">
        <is>
          <t>김해시 관동로 27번길 117 일동미라주더스타 103-105</t>
        </is>
      </c>
      <c r="H9" s="89" t="inlineStr">
        <is>
          <t>우기택</t>
        </is>
      </c>
      <c r="I9" s="89" t="inlineStr">
        <is>
          <t>김혜인</t>
        </is>
      </c>
      <c r="J9" s="89" t="inlineStr">
        <is>
          <t>010-8791-6203</t>
        </is>
      </c>
      <c r="K9" s="89" t="inlineStr">
        <is>
          <t>010-3833-8315</t>
        </is>
      </c>
      <c r="L9" s="89" t="inlineStr"/>
      <c r="M9" s="89" t="inlineStr"/>
    </row>
    <row r="10">
      <c r="A10" s="89" t="n">
        <v>31</v>
      </c>
      <c r="B10" s="89">
        <f>_xlfn.TEXTJOIN(,,A10,D10)</f>
        <v/>
      </c>
      <c r="C10" s="89" t="n">
        <v>9</v>
      </c>
      <c r="D10" s="89">
        <f>IF(LEN(C10)=1,_xlfn.TEXTJOIN(,,0,C10),C10)</f>
        <v/>
      </c>
      <c r="E10" s="89" t="inlineStr">
        <is>
          <t>윤재하</t>
        </is>
      </c>
      <c r="F10" s="89" t="n">
        <v>42076</v>
      </c>
      <c r="G10" s="89" t="inlineStr">
        <is>
          <t>해운대구 해운대해변로 197 우동 경동제이드 103동4104호</t>
        </is>
      </c>
      <c r="H10" s="89" t="inlineStr">
        <is>
          <t>윤동건</t>
        </is>
      </c>
      <c r="I10" s="89" t="inlineStr">
        <is>
          <t>윤혜미</t>
        </is>
      </c>
      <c r="J10" s="89" t="inlineStr">
        <is>
          <t>010-5211-0331</t>
        </is>
      </c>
      <c r="K10" s="89" t="inlineStr">
        <is>
          <t>010-4848-0617</t>
        </is>
      </c>
      <c r="L10" s="89" t="inlineStr">
        <is>
          <t>6-1 윤서하</t>
        </is>
      </c>
      <c r="M10" s="89" t="inlineStr">
        <is>
          <t>2호</t>
        </is>
      </c>
    </row>
    <row r="11">
      <c r="A11" s="89" t="n">
        <v>31</v>
      </c>
      <c r="B11" s="89">
        <f>_xlfn.TEXTJOIN(,,A11,D11)</f>
        <v/>
      </c>
      <c r="C11" s="89" t="n">
        <v>10</v>
      </c>
      <c r="D11" s="89">
        <f>IF(LEN(C11)=1,_xlfn.TEXTJOIN(,,0,C11),C11)</f>
        <v/>
      </c>
      <c r="E11" s="89" t="inlineStr">
        <is>
          <t>윤태인</t>
        </is>
      </c>
      <c r="F11" s="89" t="n">
        <v>42247</v>
      </c>
      <c r="G11" s="89" t="inlineStr">
        <is>
          <t>부산시 해운대구 센텀1로 9   E동 2204호</t>
        </is>
      </c>
      <c r="H11" s="89" t="inlineStr">
        <is>
          <t>윤효식</t>
        </is>
      </c>
      <c r="I11" s="89" t="inlineStr">
        <is>
          <t>이시원</t>
        </is>
      </c>
      <c r="J11" s="89" t="inlineStr">
        <is>
          <t>010-9606-0156</t>
        </is>
      </c>
      <c r="K11" s="89" t="inlineStr">
        <is>
          <t>010-9605-0156</t>
        </is>
      </c>
      <c r="M11" s="89" t="inlineStr">
        <is>
          <t>3호</t>
        </is>
      </c>
    </row>
    <row r="12">
      <c r="A12" s="89" t="n">
        <v>31</v>
      </c>
      <c r="B12" s="89">
        <f>_xlfn.TEXTJOIN(,,A12,D12)</f>
        <v/>
      </c>
      <c r="C12" s="89" t="n">
        <v>11</v>
      </c>
      <c r="D12" s="89">
        <f>IF(LEN(C12)=1,_xlfn.TEXTJOIN(,,0,C12),C12)</f>
        <v/>
      </c>
      <c r="E12" s="89" t="inlineStr">
        <is>
          <t>전하준</t>
        </is>
      </c>
      <c r="F12" s="89" t="inlineStr">
        <is>
          <t>2015-07-27</t>
        </is>
      </c>
      <c r="G12" s="89" t="inlineStr">
        <is>
          <t>부산 남구 유엔로246 , 102동 501호 (대연동,대연자이)</t>
        </is>
      </c>
      <c r="H12" s="89" t="inlineStr">
        <is>
          <t>전성동</t>
        </is>
      </c>
      <c r="I12" s="89" t="inlineStr">
        <is>
          <t>박혜미</t>
        </is>
      </c>
      <c r="J12" s="89" t="inlineStr">
        <is>
          <t>010-9143-8657</t>
        </is>
      </c>
      <c r="K12" s="89" t="inlineStr">
        <is>
          <t>010-3619-0743</t>
        </is>
      </c>
      <c r="L12" s="89" t="inlineStr"/>
      <c r="M12" s="89" t="inlineStr">
        <is>
          <t>11호</t>
        </is>
      </c>
    </row>
    <row r="13">
      <c r="A13" s="89" t="n">
        <v>31</v>
      </c>
      <c r="B13" s="89">
        <f>_xlfn.TEXTJOIN(,,A13,D13)</f>
        <v/>
      </c>
      <c r="C13" s="89" t="n">
        <v>12</v>
      </c>
      <c r="D13" s="89">
        <f>IF(LEN(C13)=1,_xlfn.TEXTJOIN(,,0,C13),C13)</f>
        <v/>
      </c>
      <c r="E13" s="89" t="inlineStr">
        <is>
          <t>정승민</t>
        </is>
      </c>
      <c r="F13" s="89" t="inlineStr">
        <is>
          <t>2015-10-25</t>
        </is>
      </c>
      <c r="G13" s="89" t="inlineStr">
        <is>
          <t>부산시 해운대구 마린시티2로 38, 1-606호</t>
        </is>
      </c>
      <c r="H13" s="89" t="inlineStr">
        <is>
          <t>정종원</t>
        </is>
      </c>
      <c r="I13" s="89" t="inlineStr">
        <is>
          <t>송미연</t>
        </is>
      </c>
      <c r="J13" s="89" t="inlineStr">
        <is>
          <t>010-2045-3227</t>
        </is>
      </c>
      <c r="K13" s="89" t="inlineStr">
        <is>
          <t>010-4513-0803</t>
        </is>
      </c>
      <c r="L13" s="89" t="inlineStr">
        <is>
          <t>1-2 정하윤</t>
        </is>
      </c>
      <c r="M13" s="89" t="inlineStr">
        <is>
          <t>5호</t>
        </is>
      </c>
    </row>
    <row r="14">
      <c r="A14" s="89" t="n">
        <v>31</v>
      </c>
      <c r="B14" s="89">
        <f>_xlfn.TEXTJOIN(,,A14,D14)</f>
        <v/>
      </c>
      <c r="C14" s="89" t="n">
        <v>13</v>
      </c>
      <c r="D14" s="89">
        <f>IF(LEN(C14)=1,_xlfn.TEXTJOIN(,,0,C14),C14)</f>
        <v/>
      </c>
      <c r="E14" s="89" t="inlineStr">
        <is>
          <t>조연우</t>
        </is>
      </c>
      <c r="F14" s="89" t="inlineStr">
        <is>
          <t>2015-07-10</t>
        </is>
      </c>
      <c r="G14" s="89" t="inlineStr">
        <is>
          <t>부산시 남구 분포로 145 (용호동, 더블유), A동 4503호</t>
        </is>
      </c>
      <c r="H14" s="89" t="inlineStr">
        <is>
          <t>조현호</t>
        </is>
      </c>
      <c r="I14" s="89" t="inlineStr">
        <is>
          <t>남경진</t>
        </is>
      </c>
      <c r="J14" s="89" t="inlineStr">
        <is>
          <t>010-2578-9686</t>
        </is>
      </c>
      <c r="K14" s="89" t="inlineStr">
        <is>
          <t>010-8539-9303</t>
        </is>
      </c>
      <c r="L14" s="89" t="inlineStr">
        <is>
          <t>6-1 조연제</t>
        </is>
      </c>
      <c r="M14" s="89" t="inlineStr">
        <is>
          <t>6호</t>
        </is>
      </c>
    </row>
    <row r="15">
      <c r="A15" s="89" t="n">
        <v>31</v>
      </c>
      <c r="B15" s="89">
        <f>_xlfn.TEXTJOIN(,,A15,D15)</f>
        <v/>
      </c>
      <c r="C15" s="89" t="n">
        <v>14</v>
      </c>
      <c r="D15" s="89">
        <f>IF(LEN(C15)=1,_xlfn.TEXTJOIN(,,0,C15),C15)</f>
        <v/>
      </c>
      <c r="E15" s="89" t="inlineStr">
        <is>
          <t>조현성</t>
        </is>
      </c>
      <c r="F15" s="89" t="inlineStr">
        <is>
          <t>2015-03-27</t>
        </is>
      </c>
      <c r="G15" s="89" t="inlineStr">
        <is>
          <t xml:space="preserve">해운대구 센텀중앙로 145 더샵센텀파크 1차 , 107동 3804호 </t>
        </is>
      </c>
      <c r="H15" s="89" t="inlineStr">
        <is>
          <t>조원준</t>
        </is>
      </c>
      <c r="I15" s="89" t="inlineStr">
        <is>
          <t>황은영</t>
        </is>
      </c>
      <c r="J15" s="89" t="inlineStr">
        <is>
          <t>010-8798-1455</t>
        </is>
      </c>
      <c r="K15" s="89" t="inlineStr">
        <is>
          <t>010-9363-0650</t>
        </is>
      </c>
      <c r="L15" s="89" t="inlineStr"/>
      <c r="M15" s="89" t="inlineStr">
        <is>
          <t>10호</t>
        </is>
      </c>
    </row>
    <row r="16">
      <c r="A16" s="89" t="n">
        <v>31</v>
      </c>
      <c r="B16" s="89">
        <f>_xlfn.TEXTJOIN(,,A16,D16)</f>
        <v/>
      </c>
      <c r="C16" s="89" t="n">
        <v>15</v>
      </c>
      <c r="D16" s="89">
        <f>IF(LEN(C16)=1,_xlfn.TEXTJOIN(,,0,C16),C16)</f>
        <v/>
      </c>
      <c r="E16" s="89" t="inlineStr">
        <is>
          <t>차건호</t>
        </is>
      </c>
      <c r="F16" s="89" t="inlineStr">
        <is>
          <t>2015-03-02</t>
        </is>
      </c>
      <c r="G16" s="89" t="inlineStr">
        <is>
          <t>부산동구자성로116번길2두산위브포세이돈2아파트 102동701호</t>
        </is>
      </c>
      <c r="H16" s="89" t="inlineStr">
        <is>
          <t>차동열</t>
        </is>
      </c>
      <c r="I16" s="89" t="inlineStr">
        <is>
          <t>송정하</t>
        </is>
      </c>
      <c r="J16" s="89" t="inlineStr">
        <is>
          <t>010-9216-2271</t>
        </is>
      </c>
      <c r="K16" s="89" t="inlineStr">
        <is>
          <t>010-9662-2170</t>
        </is>
      </c>
      <c r="M16" s="89" t="inlineStr">
        <is>
          <t>7호</t>
        </is>
      </c>
    </row>
    <row r="17">
      <c r="A17" s="89" t="n">
        <v>31</v>
      </c>
      <c r="B17" s="89">
        <f>_xlfn.TEXTJOIN(,,A17,D17)</f>
        <v/>
      </c>
      <c r="C17" s="89" t="n">
        <v>16</v>
      </c>
      <c r="D17" s="89">
        <f>IF(LEN(C17)=1,_xlfn.TEXTJOIN(,,0,C17),C17)</f>
        <v/>
      </c>
      <c r="E17" s="89" t="inlineStr">
        <is>
          <t>천호준</t>
        </is>
      </c>
      <c r="F17" s="89" t="n">
        <v>42181</v>
      </c>
      <c r="G17" s="89" t="inlineStr">
        <is>
          <t>부산 남구 수영로261(대연sk뷰힐스) 110동1002호</t>
        </is>
      </c>
      <c r="H17" s="89" t="inlineStr">
        <is>
          <t>천민승</t>
        </is>
      </c>
      <c r="I17" s="89" t="inlineStr">
        <is>
          <t>김근희</t>
        </is>
      </c>
      <c r="J17" s="89" t="inlineStr">
        <is>
          <t>010-6655-6971</t>
        </is>
      </c>
      <c r="K17" s="89" t="inlineStr">
        <is>
          <t>010-5256-6181</t>
        </is>
      </c>
      <c r="L17" s="89" t="inlineStr"/>
      <c r="M17" s="89" t="inlineStr">
        <is>
          <t>11-1호</t>
        </is>
      </c>
    </row>
    <row r="18">
      <c r="A18" s="89" t="n">
        <v>31</v>
      </c>
      <c r="B18" s="89">
        <f>_xlfn.TEXTJOIN(,,A18,D18)</f>
        <v/>
      </c>
      <c r="C18" s="89" t="n">
        <v>17</v>
      </c>
      <c r="D18" s="89">
        <f>IF(LEN(C18)=1,_xlfn.TEXTJOIN(,,0,C18),C18)</f>
        <v/>
      </c>
      <c r="E18" s="89" t="inlineStr">
        <is>
          <t>최동하</t>
        </is>
      </c>
      <c r="F18" s="89" t="inlineStr">
        <is>
          <t>2015-12-14</t>
        </is>
      </c>
      <c r="G18" s="89" t="inlineStr">
        <is>
          <t>광안로20, 104동 2803호 (광안동,광안쌍용예가디오션)</t>
        </is>
      </c>
      <c r="H18" s="89" t="inlineStr">
        <is>
          <t>최성문</t>
        </is>
      </c>
      <c r="I18" s="89" t="inlineStr">
        <is>
          <t>유미환</t>
        </is>
      </c>
      <c r="J18" s="89" t="inlineStr">
        <is>
          <t>010-5792-7123</t>
        </is>
      </c>
      <c r="K18" s="89" t="inlineStr">
        <is>
          <t>010-4176-3225</t>
        </is>
      </c>
      <c r="L18" s="89" t="inlineStr"/>
      <c r="M18" s="89" t="inlineStr">
        <is>
          <t>12호</t>
        </is>
      </c>
    </row>
    <row r="19">
      <c r="A19" s="89" t="n">
        <v>31</v>
      </c>
      <c r="B19" s="89">
        <f>_xlfn.TEXTJOIN(,,A19,D19)</f>
        <v/>
      </c>
      <c r="C19" s="89" t="n">
        <v>41</v>
      </c>
      <c r="D19" s="89">
        <f>IF(LEN(C19)=1,_xlfn.TEXTJOIN(,,0,C19),C19)</f>
        <v/>
      </c>
      <c r="E19" s="89" t="inlineStr">
        <is>
          <t>김가빈</t>
        </is>
      </c>
      <c r="F19" s="89" t="n">
        <v>42334</v>
      </c>
      <c r="G19" s="89" t="inlineStr">
        <is>
          <t>부산 해운대구 마린시티2로 33 102-5909, 102동 5909호 (우동,해운대두산위브더제니스)</t>
        </is>
      </c>
      <c r="H19" s="89" t="inlineStr">
        <is>
          <t>김태우</t>
        </is>
      </c>
      <c r="I19" s="89" t="inlineStr">
        <is>
          <t>이유미</t>
        </is>
      </c>
      <c r="J19" s="89" t="inlineStr">
        <is>
          <t>010-2715-0081</t>
        </is>
      </c>
      <c r="K19" s="89" t="inlineStr">
        <is>
          <t>010-3138-9054</t>
        </is>
      </c>
      <c r="L19" s="89" t="inlineStr">
        <is>
          <t>6-1 김강율</t>
        </is>
      </c>
      <c r="M19" s="89" t="inlineStr">
        <is>
          <t>1호</t>
        </is>
      </c>
    </row>
    <row r="20">
      <c r="A20" s="89" t="n">
        <v>31</v>
      </c>
      <c r="B20" s="89">
        <f>_xlfn.TEXTJOIN(,,A20,D20)</f>
        <v/>
      </c>
      <c r="C20" s="89" t="n">
        <v>42</v>
      </c>
      <c r="D20" s="89">
        <f>IF(LEN(C20)=1,_xlfn.TEXTJOIN(,,0,C20),C20)</f>
        <v/>
      </c>
      <c r="E20" s="89" t="inlineStr">
        <is>
          <t>김소윤</t>
        </is>
      </c>
      <c r="F20" s="89" t="inlineStr">
        <is>
          <t>2015-03-27</t>
        </is>
      </c>
      <c r="G20" s="89" t="inlineStr">
        <is>
          <t>부산시 남구 분포로113,209동 401호, 209동 401호 (용호동,LG메트로시티)</t>
        </is>
      </c>
      <c r="H20" s="89" t="inlineStr">
        <is>
          <t>김태형</t>
        </is>
      </c>
      <c r="I20" s="89" t="inlineStr">
        <is>
          <t>송민주</t>
        </is>
      </c>
      <c r="J20" s="89" t="inlineStr">
        <is>
          <t>010.4555.6084</t>
        </is>
      </c>
      <c r="K20" s="89" t="inlineStr">
        <is>
          <t>010-4455-8115</t>
        </is>
      </c>
      <c r="L20" s="89" t="inlineStr">
        <is>
          <t>5-4 김시윤</t>
        </is>
      </c>
      <c r="M20" s="89" t="inlineStr">
        <is>
          <t>11호</t>
        </is>
      </c>
    </row>
    <row r="21">
      <c r="A21" s="89" t="n">
        <v>31</v>
      </c>
      <c r="B21" s="89">
        <f>_xlfn.TEXTJOIN(,,A21,D21)</f>
        <v/>
      </c>
      <c r="C21" s="89" t="n">
        <v>43</v>
      </c>
      <c r="D21" s="89">
        <f>IF(LEN(C21)=1,_xlfn.TEXTJOIN(,,0,C21),C21)</f>
        <v/>
      </c>
      <c r="E21" s="89" t="inlineStr">
        <is>
          <t>김주하</t>
        </is>
      </c>
      <c r="F21" s="89" t="n">
        <v>42331</v>
      </c>
      <c r="G21" s="89" t="inlineStr">
        <is>
          <t>부산 동래구 동래로53 명륜쌍용예가 102동1602호</t>
        </is>
      </c>
      <c r="H21" s="89" t="inlineStr">
        <is>
          <t>김선우</t>
        </is>
      </c>
      <c r="I21" s="89" t="inlineStr">
        <is>
          <t>노가연</t>
        </is>
      </c>
      <c r="J21" s="89" t="inlineStr">
        <is>
          <t>010-8602-4647</t>
        </is>
      </c>
      <c r="K21" s="89" t="inlineStr">
        <is>
          <t>010-9236-4009</t>
        </is>
      </c>
      <c r="L21" s="89" t="inlineStr"/>
      <c r="M21" s="89" t="inlineStr">
        <is>
          <t>13-1호</t>
        </is>
      </c>
    </row>
    <row r="22">
      <c r="A22" s="89" t="n">
        <v>31</v>
      </c>
      <c r="B22" s="89">
        <f>_xlfn.TEXTJOIN(,,A22,D22)</f>
        <v/>
      </c>
      <c r="C22" s="89" t="n">
        <v>44</v>
      </c>
      <c r="D22" s="89">
        <f>IF(LEN(C22)=1,_xlfn.TEXTJOIN(,,0,C22),C22)</f>
        <v/>
      </c>
      <c r="E22" s="89" t="inlineStr">
        <is>
          <t>박예지</t>
        </is>
      </c>
      <c r="F22" s="89" t="inlineStr">
        <is>
          <t>2015-07-09</t>
        </is>
      </c>
      <c r="G22" s="89" t="inlineStr">
        <is>
          <t>부산 수영구 수영로 776 더샵센텀포레 109동 2001호</t>
        </is>
      </c>
      <c r="H22" s="89" t="inlineStr">
        <is>
          <t>박장현</t>
        </is>
      </c>
      <c r="I22" s="89" t="inlineStr">
        <is>
          <t>한수정</t>
        </is>
      </c>
      <c r="J22" s="89" t="inlineStr">
        <is>
          <t>010-9458-9555</t>
        </is>
      </c>
      <c r="K22" s="89" t="inlineStr">
        <is>
          <t>010-7123-2137</t>
        </is>
      </c>
      <c r="L22" s="89" t="inlineStr"/>
      <c r="M22" s="89" t="inlineStr">
        <is>
          <t>3호</t>
        </is>
      </c>
    </row>
    <row r="23">
      <c r="A23" s="89" t="n">
        <v>31</v>
      </c>
      <c r="B23" s="89">
        <f>_xlfn.TEXTJOIN(,,A23,D23)</f>
        <v/>
      </c>
      <c r="C23" s="89" t="n">
        <v>45</v>
      </c>
      <c r="D23" s="89">
        <f>IF(LEN(C23)=1,_xlfn.TEXTJOIN(,,0,C23),C23)</f>
        <v/>
      </c>
      <c r="E23" s="89" t="inlineStr">
        <is>
          <t>박주원</t>
        </is>
      </c>
      <c r="F23" s="89" t="inlineStr">
        <is>
          <t>2015-04-09</t>
        </is>
      </c>
      <c r="G23" s="89" t="inlineStr">
        <is>
          <t>부산시 남구 수영로 135, 대연롯데캐슬레전드 118동 1103호</t>
        </is>
      </c>
      <c r="H23" s="89" t="inlineStr">
        <is>
          <t>박근식</t>
        </is>
      </c>
      <c r="I23" s="89" t="inlineStr">
        <is>
          <t>김경애</t>
        </is>
      </c>
      <c r="J23" s="89" t="inlineStr">
        <is>
          <t>010-3320-0887</t>
        </is>
      </c>
      <c r="K23" s="89" t="inlineStr">
        <is>
          <t>010-3463-0887</t>
        </is>
      </c>
      <c r="L23" s="89" t="inlineStr"/>
      <c r="M23" s="89" t="inlineStr">
        <is>
          <t>11-1호</t>
        </is>
      </c>
    </row>
    <row r="24">
      <c r="A24" s="89" t="n">
        <v>31</v>
      </c>
      <c r="B24" s="89">
        <f>_xlfn.TEXTJOIN(,,A24,D24)</f>
        <v/>
      </c>
      <c r="C24" s="89" t="n">
        <v>46</v>
      </c>
      <c r="D24" s="89">
        <f>IF(LEN(C24)=1,_xlfn.TEXTJOIN(,,0,C24),C24)</f>
        <v/>
      </c>
      <c r="E24" s="89" t="inlineStr">
        <is>
          <t>배채윤</t>
        </is>
      </c>
      <c r="F24" s="89" t="inlineStr">
        <is>
          <t>2015-05-18</t>
        </is>
      </c>
      <c r="G24" s="89" t="inlineStr">
        <is>
          <t>부산 남구 수영로 355, 104동1501호(대연힐스테이트푸르지오)</t>
        </is>
      </c>
      <c r="H24" s="89" t="inlineStr">
        <is>
          <t>배찬우</t>
        </is>
      </c>
      <c r="I24" s="89" t="inlineStr">
        <is>
          <t>한영숙</t>
        </is>
      </c>
      <c r="J24" s="89" t="inlineStr">
        <is>
          <t>010-8543-8906</t>
        </is>
      </c>
      <c r="K24" s="89" t="inlineStr">
        <is>
          <t>010-4155-8948</t>
        </is>
      </c>
      <c r="L24" s="89" t="inlineStr"/>
      <c r="M24" s="89" t="inlineStr">
        <is>
          <t>7호</t>
        </is>
      </c>
    </row>
    <row r="25">
      <c r="A25" s="89" t="n">
        <v>31</v>
      </c>
      <c r="B25" s="89">
        <f>_xlfn.TEXTJOIN(,,A25,D25)</f>
        <v/>
      </c>
      <c r="C25" s="89" t="n">
        <v>47</v>
      </c>
      <c r="D25" s="89">
        <f>IF(LEN(C25)=1,_xlfn.TEXTJOIN(,,0,C25),C25)</f>
        <v/>
      </c>
      <c r="E25" s="89" t="inlineStr">
        <is>
          <t>이다인</t>
        </is>
      </c>
      <c r="F25" s="89" t="inlineStr">
        <is>
          <t>2015-02-28</t>
        </is>
      </c>
      <c r="G25" s="89" t="inlineStr">
        <is>
          <t>해운대해변로197 경동제이드, 101동 601호 (우동,해운대경동제이드)</t>
        </is>
      </c>
      <c r="H25" s="89" t="inlineStr">
        <is>
          <t>이원재</t>
        </is>
      </c>
      <c r="I25" s="89" t="inlineStr">
        <is>
          <t>박규희</t>
        </is>
      </c>
      <c r="J25" s="89" t="inlineStr">
        <is>
          <t>010-3832-2224</t>
        </is>
      </c>
      <c r="K25" s="89" t="inlineStr">
        <is>
          <t>010-9331-9396</t>
        </is>
      </c>
      <c r="L25" s="89" t="inlineStr"/>
      <c r="M25" s="89" t="inlineStr">
        <is>
          <t>2호</t>
        </is>
      </c>
    </row>
    <row r="26">
      <c r="A26" s="89" t="n">
        <v>31</v>
      </c>
      <c r="B26" s="89">
        <f>_xlfn.TEXTJOIN(,,A26,D26)</f>
        <v/>
      </c>
      <c r="C26" s="89" t="n">
        <v>48</v>
      </c>
      <c r="D26" s="89">
        <f>IF(LEN(C26)=1,_xlfn.TEXTJOIN(,,0,C26),C26)</f>
        <v/>
      </c>
      <c r="E26" s="89" t="inlineStr">
        <is>
          <t>이소정</t>
        </is>
      </c>
      <c r="F26" s="89" t="inlineStr">
        <is>
          <t>2015-07-01</t>
        </is>
      </c>
      <c r="G26" s="89" t="inlineStr">
        <is>
          <t>부산광역시 남구 수영로39번길 13</t>
        </is>
      </c>
      <c r="H26" s="89" t="inlineStr">
        <is>
          <t>고경삼</t>
        </is>
      </c>
      <c r="I26" s="89" t="inlineStr">
        <is>
          <t>고다은</t>
        </is>
      </c>
      <c r="J26" s="89" t="inlineStr">
        <is>
          <t>010-3264-9858</t>
        </is>
      </c>
      <c r="K26" s="89" t="inlineStr">
        <is>
          <t>010-2019-9858</t>
        </is>
      </c>
      <c r="M26" s="89" t="inlineStr">
        <is>
          <t>7호</t>
        </is>
      </c>
    </row>
    <row r="27">
      <c r="A27" s="89" t="n">
        <v>31</v>
      </c>
      <c r="B27" s="89">
        <f>_xlfn.TEXTJOIN(,,A27,D27)</f>
        <v/>
      </c>
      <c r="C27" s="89" t="n">
        <v>49</v>
      </c>
      <c r="D27" s="89">
        <f>IF(LEN(C27)=1,_xlfn.TEXTJOIN(,,0,C27),C27)</f>
        <v/>
      </c>
      <c r="E27" s="89" t="inlineStr">
        <is>
          <t>이연서</t>
        </is>
      </c>
      <c r="F27" s="89" t="inlineStr">
        <is>
          <t>2015-01-15</t>
        </is>
      </c>
      <c r="G27" s="89" t="inlineStr">
        <is>
          <t>마린시티2로 38 해운대아이파크 1동 5503호</t>
        </is>
      </c>
      <c r="H27" s="89" t="inlineStr">
        <is>
          <t>이준성</t>
        </is>
      </c>
      <c r="I27" s="89" t="inlineStr">
        <is>
          <t>황유록</t>
        </is>
      </c>
      <c r="J27" s="89" t="inlineStr">
        <is>
          <t>010-3570-3787</t>
        </is>
      </c>
      <c r="K27" s="89" t="inlineStr">
        <is>
          <t>010-9904-8386</t>
        </is>
      </c>
      <c r="L27" s="89" t="inlineStr">
        <is>
          <t>6-1 이윤건</t>
        </is>
      </c>
      <c r="M27" s="89" t="inlineStr">
        <is>
          <t>5호</t>
        </is>
      </c>
    </row>
    <row r="28">
      <c r="A28" s="89" t="n">
        <v>31</v>
      </c>
      <c r="B28" s="89">
        <f>_xlfn.TEXTJOIN(,,A28,D28)</f>
        <v/>
      </c>
      <c r="C28" s="89" t="n">
        <v>50</v>
      </c>
      <c r="D28" s="89">
        <f>IF(LEN(C28)=1,_xlfn.TEXTJOIN(,,0,C28),C28)</f>
        <v/>
      </c>
      <c r="E28" s="89" t="inlineStr">
        <is>
          <t>이윤서</t>
        </is>
      </c>
      <c r="F28" s="89" t="inlineStr">
        <is>
          <t>2015-06-05</t>
        </is>
      </c>
      <c r="G28" s="89" t="inlineStr">
        <is>
          <t>부산 남구 분포로145 더블유아파트 c동2903호</t>
        </is>
      </c>
      <c r="H28" s="89" t="inlineStr">
        <is>
          <t>이현우</t>
        </is>
      </c>
      <c r="I28" s="89" t="inlineStr">
        <is>
          <t>강수미</t>
        </is>
      </c>
      <c r="J28" s="89" t="inlineStr">
        <is>
          <t>010-3865-6265</t>
        </is>
      </c>
      <c r="K28" s="89" t="inlineStr">
        <is>
          <t>010-3712-4030</t>
        </is>
      </c>
      <c r="L28" s="89" t="inlineStr">
        <is>
          <t>5-1 이준서</t>
        </is>
      </c>
      <c r="M28" s="89" t="inlineStr">
        <is>
          <t>6호</t>
        </is>
      </c>
    </row>
    <row r="29">
      <c r="A29" s="89" t="n">
        <v>31</v>
      </c>
      <c r="B29" s="89">
        <f>_xlfn.TEXTJOIN(,,A29,D29)</f>
        <v/>
      </c>
      <c r="C29" s="89" t="n">
        <v>51</v>
      </c>
      <c r="D29" s="89">
        <f>IF(LEN(C29)=1,_xlfn.TEXTJOIN(,,0,C29),C29)</f>
        <v/>
      </c>
      <c r="E29" s="89" t="inlineStr">
        <is>
          <t>이지오</t>
        </is>
      </c>
      <c r="F29" s="89" t="inlineStr">
        <is>
          <t>2015-01-03</t>
        </is>
      </c>
      <c r="G29" s="89" t="inlineStr">
        <is>
          <t>부산시 해운대구 해운대해변로163(우동, 현대베네시티) 101동3501호</t>
        </is>
      </c>
      <c r="H29" s="89" t="inlineStr">
        <is>
          <t>이종희</t>
        </is>
      </c>
      <c r="I29" s="89" t="inlineStr">
        <is>
          <t>제민지</t>
        </is>
      </c>
      <c r="J29" s="89" t="inlineStr">
        <is>
          <t>010-2313-1702</t>
        </is>
      </c>
      <c r="K29" s="89" t="inlineStr">
        <is>
          <t>010-9000-7148</t>
        </is>
      </c>
      <c r="L29" s="89" t="inlineStr">
        <is>
          <t>2-3 이재준</t>
        </is>
      </c>
      <c r="M29" s="89" t="inlineStr">
        <is>
          <t>2호</t>
        </is>
      </c>
    </row>
    <row r="30">
      <c r="A30" s="89" t="n">
        <v>31</v>
      </c>
      <c r="B30" s="89">
        <f>_xlfn.TEXTJOIN(,,A30,D30)</f>
        <v/>
      </c>
      <c r="C30" s="89" t="n">
        <v>52</v>
      </c>
      <c r="D30" s="89">
        <f>IF(LEN(C30)=1,_xlfn.TEXTJOIN(,,0,C30),C30)</f>
        <v/>
      </c>
      <c r="E30" s="89" t="inlineStr">
        <is>
          <t>이지우</t>
        </is>
      </c>
      <c r="F30" s="89" t="n">
        <v>42258</v>
      </c>
      <c r="G30" s="89" t="inlineStr">
        <is>
          <t>부산시 연제구 안연로33 더샵파크시티 104동 503호</t>
        </is>
      </c>
      <c r="H30" s="89" t="inlineStr">
        <is>
          <t>이상훈</t>
        </is>
      </c>
      <c r="I30" s="89" t="inlineStr">
        <is>
          <t>이경혜</t>
        </is>
      </c>
      <c r="J30" s="89" t="inlineStr">
        <is>
          <t>010-3238-4021</t>
        </is>
      </c>
      <c r="K30" s="89" t="inlineStr">
        <is>
          <t>010-4844-6454</t>
        </is>
      </c>
      <c r="L30" s="89" t="inlineStr">
        <is>
          <t>4-1 이하준</t>
        </is>
      </c>
      <c r="M30" s="89" t="inlineStr">
        <is>
          <t>14호</t>
        </is>
      </c>
    </row>
    <row r="31">
      <c r="A31" s="89" t="n">
        <v>31</v>
      </c>
      <c r="B31" s="89">
        <f>_xlfn.TEXTJOIN(,,A31,D31)</f>
        <v/>
      </c>
      <c r="C31" s="89" t="n">
        <v>53</v>
      </c>
      <c r="D31" s="89">
        <f>IF(LEN(C31)=1,_xlfn.TEXTJOIN(,,0,C31),C31)</f>
        <v/>
      </c>
      <c r="E31" s="89" t="inlineStr">
        <is>
          <t>전유나</t>
        </is>
      </c>
      <c r="F31" s="89" t="n">
        <v>42100</v>
      </c>
      <c r="G31" s="89" t="inlineStr">
        <is>
          <t>남천동로41, 110동 1902호 (남천동,코오롱하늘채골든비치아파트)</t>
        </is>
      </c>
      <c r="H31" s="89" t="inlineStr">
        <is>
          <t>전경준</t>
        </is>
      </c>
      <c r="I31" s="89" t="inlineStr">
        <is>
          <t>배은희</t>
        </is>
      </c>
      <c r="J31" s="89" t="inlineStr">
        <is>
          <t>010-3889-3433</t>
        </is>
      </c>
      <c r="K31" s="89" t="inlineStr">
        <is>
          <t>010-2598-3304</t>
        </is>
      </c>
      <c r="L31" s="89" t="inlineStr"/>
      <c r="M31" s="89" t="inlineStr">
        <is>
          <t>8호</t>
        </is>
      </c>
    </row>
    <row r="32">
      <c r="A32" s="89" t="n">
        <v>31</v>
      </c>
      <c r="B32" s="89">
        <f>_xlfn.TEXTJOIN(,,A32,D32)</f>
        <v/>
      </c>
      <c r="C32" s="89" t="n">
        <v>54</v>
      </c>
      <c r="D32" s="89">
        <f>IF(LEN(C32)=1,_xlfn.TEXTJOIN(,,0,C32),C32)</f>
        <v/>
      </c>
      <c r="E32" s="89" t="inlineStr">
        <is>
          <t>조채이</t>
        </is>
      </c>
      <c r="F32" s="89" t="inlineStr">
        <is>
          <t>2015-07-18</t>
        </is>
      </c>
      <c r="G32" s="89" t="inlineStr">
        <is>
          <t>부산시 해운대구 마린시티 2로 33, 해운대두산위브더제니스 102동 1603호</t>
        </is>
      </c>
      <c r="H32" s="89" t="inlineStr">
        <is>
          <t>조성연</t>
        </is>
      </c>
      <c r="I32" s="89" t="inlineStr">
        <is>
          <t>이정하</t>
        </is>
      </c>
      <c r="J32" s="89" t="inlineStr">
        <is>
          <t>010-4543-7172</t>
        </is>
      </c>
      <c r="K32" s="89" t="inlineStr">
        <is>
          <t>010-3082-0717</t>
        </is>
      </c>
      <c r="L32" s="89" t="inlineStr"/>
      <c r="M32" s="89" t="inlineStr">
        <is>
          <t>1호</t>
        </is>
      </c>
    </row>
    <row r="33">
      <c r="A33" s="89" t="n">
        <v>31</v>
      </c>
      <c r="B33" s="89">
        <f>_xlfn.TEXTJOIN(,,A33,D33)</f>
        <v/>
      </c>
      <c r="C33" s="89" t="n">
        <v>55</v>
      </c>
      <c r="D33" s="89">
        <f>IF(LEN(C33)=1,_xlfn.TEXTJOIN(,,0,C33),C33)</f>
        <v/>
      </c>
      <c r="E33" s="89" t="inlineStr">
        <is>
          <t>김라원</t>
        </is>
      </c>
      <c r="F33" s="89" t="inlineStr">
        <is>
          <t>2015-05-22</t>
        </is>
      </c>
      <c r="G33" s="89" t="inlineStr">
        <is>
          <t>부산시 수영구 남천동로 41, 106동402호(남천동,코오롱하늘채)</t>
        </is>
      </c>
      <c r="H33" s="89" t="inlineStr">
        <is>
          <t>김경우</t>
        </is>
      </c>
      <c r="I33" s="89" t="inlineStr">
        <is>
          <t>여소영</t>
        </is>
      </c>
      <c r="J33" s="89" t="inlineStr">
        <is>
          <t>010-5045-6532</t>
        </is>
      </c>
      <c r="K33" s="89" t="inlineStr">
        <is>
          <t>010-8545-6532</t>
        </is>
      </c>
      <c r="L33" s="89" t="inlineStr">
        <is>
          <t>5-3 김강록</t>
        </is>
      </c>
      <c r="M33" s="89" t="inlineStr">
        <is>
          <t>8호</t>
        </is>
      </c>
    </row>
    <row r="34">
      <c r="A34" s="89" t="n">
        <v>32</v>
      </c>
      <c r="B34" s="89">
        <f>_xlfn.TEXTJOIN(,,A34,D34)</f>
        <v/>
      </c>
      <c r="C34" s="89" t="n">
        <v>1</v>
      </c>
      <c r="D34" s="89">
        <f>IF(LEN(C34)=1,_xlfn.TEXTJOIN(,,0,C34),C34)</f>
        <v/>
      </c>
      <c r="E34" s="89" t="inlineStr">
        <is>
          <t>권규민</t>
        </is>
      </c>
      <c r="F34" s="89" t="n">
        <v>42167</v>
      </c>
      <c r="G34" s="89" t="inlineStr">
        <is>
          <t>부산광역시 수영구 수영로 776, 105동 2002호 더샾 센텀포레</t>
        </is>
      </c>
      <c r="H34" s="89" t="inlineStr">
        <is>
          <t>권태형</t>
        </is>
      </c>
      <c r="I34" s="89" t="inlineStr">
        <is>
          <t>최정은</t>
        </is>
      </c>
      <c r="J34" s="89" t="inlineStr">
        <is>
          <t>010-8385-9989</t>
        </is>
      </c>
      <c r="K34" s="89" t="inlineStr">
        <is>
          <t>010-2332-0089</t>
        </is>
      </c>
      <c r="L34" s="89" t="inlineStr"/>
      <c r="M34" s="89" t="inlineStr">
        <is>
          <t>3호</t>
        </is>
      </c>
    </row>
    <row r="35">
      <c r="A35" s="89" t="n">
        <v>32</v>
      </c>
      <c r="B35" s="89">
        <f>_xlfn.TEXTJOIN(,,A35,D35)</f>
        <v/>
      </c>
      <c r="C35" s="89" t="n">
        <v>2</v>
      </c>
      <c r="D35" s="89">
        <f>IF(LEN(C35)=1,_xlfn.TEXTJOIN(,,0,C35),C35)</f>
        <v/>
      </c>
      <c r="E35" s="89" t="inlineStr">
        <is>
          <t>김건우</t>
        </is>
      </c>
      <c r="F35" s="89" t="n">
        <v>42290</v>
      </c>
      <c r="G35" s="89" t="inlineStr">
        <is>
          <t>부산광역시 부산진구 동성로 50 , 102동 401호 (전포동,서면아이파크아파트)</t>
        </is>
      </c>
      <c r="H35" s="89" t="inlineStr">
        <is>
          <t>김준석</t>
        </is>
      </c>
      <c r="I35" s="89" t="inlineStr">
        <is>
          <t>박지혜</t>
        </is>
      </c>
      <c r="J35" s="89" t="inlineStr">
        <is>
          <t>010-3156-9876</t>
        </is>
      </c>
      <c r="K35" s="89" t="inlineStr">
        <is>
          <t>010-3198-7088</t>
        </is>
      </c>
      <c r="L35" s="89" t="inlineStr"/>
      <c r="M35" s="89" t="inlineStr"/>
    </row>
    <row r="36">
      <c r="A36" s="89" t="n">
        <v>32</v>
      </c>
      <c r="B36" s="89">
        <f>_xlfn.TEXTJOIN(,,A36,D36)</f>
        <v/>
      </c>
      <c r="C36" s="89" t="n">
        <v>3</v>
      </c>
      <c r="D36" s="89">
        <f>IF(LEN(C36)=1,_xlfn.TEXTJOIN(,,0,C36),C36)</f>
        <v/>
      </c>
      <c r="E36" s="89" t="inlineStr">
        <is>
          <t>김도윤</t>
        </is>
      </c>
      <c r="F36" s="89" t="n">
        <v>42324</v>
      </c>
      <c r="G36" s="89" t="inlineStr">
        <is>
          <t>부산광역시 남구 황령대로 504 더비치푸르지오써밋 103-905</t>
        </is>
      </c>
      <c r="H36" s="89" t="inlineStr">
        <is>
          <t>김재원</t>
        </is>
      </c>
      <c r="I36" s="89" t="inlineStr">
        <is>
          <t>황진아</t>
        </is>
      </c>
      <c r="J36" s="89" t="inlineStr">
        <is>
          <t>010-2981-2430</t>
        </is>
      </c>
      <c r="K36" s="89" t="inlineStr">
        <is>
          <t>010-9304-1715</t>
        </is>
      </c>
      <c r="L36" s="89" t="inlineStr"/>
      <c r="M36" s="89" t="inlineStr">
        <is>
          <t>6호</t>
        </is>
      </c>
    </row>
    <row r="37">
      <c r="A37" s="89" t="n">
        <v>32</v>
      </c>
      <c r="B37" s="89">
        <f>_xlfn.TEXTJOIN(,,A37,D37)</f>
        <v/>
      </c>
      <c r="C37" s="89" t="n">
        <v>4</v>
      </c>
      <c r="D37" s="89">
        <f>IF(LEN(C37)=1,_xlfn.TEXTJOIN(,,0,C37),C37)</f>
        <v/>
      </c>
      <c r="E37" s="89" t="inlineStr">
        <is>
          <t>김민세</t>
        </is>
      </c>
      <c r="F37" s="89" t="n">
        <v>42152</v>
      </c>
      <c r="G37" s="89" t="inlineStr">
        <is>
          <t>부산광역시 영도구 동삼오션로 30, 102동 3701호</t>
        </is>
      </c>
      <c r="H37" s="89" t="inlineStr">
        <is>
          <t>김현재</t>
        </is>
      </c>
      <c r="I37" s="89" t="inlineStr">
        <is>
          <t>고효정</t>
        </is>
      </c>
      <c r="J37" s="89" t="inlineStr">
        <is>
          <t>010-5650-1428</t>
        </is>
      </c>
      <c r="K37" s="89" t="inlineStr">
        <is>
          <t>010-2285-1428</t>
        </is>
      </c>
      <c r="L37" s="89" t="inlineStr">
        <is>
          <t>1-2 김윤세</t>
        </is>
      </c>
      <c r="M37" s="89" t="inlineStr"/>
    </row>
    <row r="38">
      <c r="A38" s="89" t="n">
        <v>32</v>
      </c>
      <c r="B38" s="89">
        <f>_xlfn.TEXTJOIN(,,A38,D38)</f>
        <v/>
      </c>
      <c r="C38" s="89" t="n">
        <v>5</v>
      </c>
      <c r="D38" s="89">
        <f>IF(LEN(C38)=1,_xlfn.TEXTJOIN(,,0,C38),C38)</f>
        <v/>
      </c>
      <c r="E38" s="89" t="inlineStr">
        <is>
          <t>김이삭</t>
        </is>
      </c>
      <c r="F38" s="89" t="n">
        <v>42368</v>
      </c>
      <c r="G38" s="89" t="inlineStr">
        <is>
          <t>부산광역시 부산진구 시민공원로 11 , 102동 1906호 (부암동,서면쌍용스윗닷홈스카이)</t>
        </is>
      </c>
      <c r="H38" s="89" t="inlineStr">
        <is>
          <t>김선광</t>
        </is>
      </c>
      <c r="I38" s="89" t="inlineStr">
        <is>
          <t>서지혜</t>
        </is>
      </c>
      <c r="J38" s="89" t="inlineStr">
        <is>
          <t>010-3934-1750</t>
        </is>
      </c>
      <c r="K38" s="89" t="inlineStr">
        <is>
          <t>010-2859-9043</t>
        </is>
      </c>
      <c r="L38" s="89" t="inlineStr"/>
      <c r="M38" s="89" t="inlineStr">
        <is>
          <t>13-2호</t>
        </is>
      </c>
    </row>
    <row r="39">
      <c r="A39" s="89" t="n">
        <v>32</v>
      </c>
      <c r="B39" s="89">
        <f>_xlfn.TEXTJOIN(,,A39,D39)</f>
        <v/>
      </c>
      <c r="C39" s="89" t="n">
        <v>6</v>
      </c>
      <c r="D39" s="89">
        <f>IF(LEN(C39)=1,_xlfn.TEXTJOIN(,,0,C39),C39)</f>
        <v/>
      </c>
      <c r="E39" s="89" t="inlineStr">
        <is>
          <t>김정언</t>
        </is>
      </c>
      <c r="F39" s="89" t="n">
        <v>42288</v>
      </c>
      <c r="G39" s="89" t="inlineStr">
        <is>
          <t>부산광역시 남구 분포로 111 , 121동 2402호 (용호동,LG메트로시티)</t>
        </is>
      </c>
      <c r="H39" s="89" t="inlineStr">
        <is>
          <t>김구상</t>
        </is>
      </c>
      <c r="I39" s="89" t="inlineStr">
        <is>
          <t>홍주연</t>
        </is>
      </c>
      <c r="J39" s="89" t="inlineStr">
        <is>
          <t>010-4551-2171</t>
        </is>
      </c>
      <c r="K39" s="89" t="inlineStr">
        <is>
          <t>010-5912-2171</t>
        </is>
      </c>
      <c r="L39" s="89" t="inlineStr">
        <is>
          <t>4-3 김정성
2-4 김정진</t>
        </is>
      </c>
      <c r="M39" s="89" t="inlineStr">
        <is>
          <t>11호</t>
        </is>
      </c>
    </row>
    <row r="40">
      <c r="A40" s="89" t="n">
        <v>32</v>
      </c>
      <c r="B40" s="89">
        <f>_xlfn.TEXTJOIN(,,A40,D40)</f>
        <v/>
      </c>
      <c r="C40" s="89" t="n">
        <v>7</v>
      </c>
      <c r="D40" s="89">
        <f>IF(LEN(C40)=1,_xlfn.TEXTJOIN(,,0,C40),C40)</f>
        <v/>
      </c>
      <c r="E40" s="89" t="inlineStr">
        <is>
          <t>김지오</t>
        </is>
      </c>
      <c r="F40" s="89" t="n">
        <v>42139</v>
      </c>
      <c r="G40" s="89" t="inlineStr">
        <is>
          <t>부산광역시 해운대구 마린시티2로 33 , 103동 4202호 (우동,해운대두산위브더제니스)</t>
        </is>
      </c>
      <c r="H40" s="89" t="inlineStr">
        <is>
          <t>김학준</t>
        </is>
      </c>
      <c r="I40" s="89" t="inlineStr">
        <is>
          <t>이윤경</t>
        </is>
      </c>
      <c r="J40" s="89" t="inlineStr">
        <is>
          <t>010-9816-0260</t>
        </is>
      </c>
      <c r="K40" s="89" t="inlineStr">
        <is>
          <t>010-3397-1298</t>
        </is>
      </c>
      <c r="M40" s="89" t="inlineStr">
        <is>
          <t>1호</t>
        </is>
      </c>
    </row>
    <row r="41">
      <c r="A41" s="89" t="n">
        <v>32</v>
      </c>
      <c r="B41" s="89">
        <f>_xlfn.TEXTJOIN(,,A41,D41)</f>
        <v/>
      </c>
      <c r="C41" s="89" t="n">
        <v>8</v>
      </c>
      <c r="D41" s="89">
        <f>IF(LEN(C41)=1,_xlfn.TEXTJOIN(,,0,C41),C41)</f>
        <v/>
      </c>
      <c r="E41" s="89" t="inlineStr">
        <is>
          <t>김채운</t>
        </is>
      </c>
      <c r="F41" s="89" t="n">
        <v>42202</v>
      </c>
      <c r="G41" s="89" t="inlineStr">
        <is>
          <t>부산광역시 남구 수영로 345 , 103동 2806호 (대연동,대연힐스테이트푸르지오)</t>
        </is>
      </c>
      <c r="H41" s="89" t="inlineStr">
        <is>
          <t>김지하</t>
        </is>
      </c>
      <c r="I41" s="89" t="inlineStr">
        <is>
          <t>박수빈</t>
        </is>
      </c>
      <c r="J41" s="89" t="inlineStr">
        <is>
          <t>010-2820-8441</t>
        </is>
      </c>
      <c r="K41" s="89" t="inlineStr">
        <is>
          <t>010-9236-4653</t>
        </is>
      </c>
      <c r="L41" s="89" t="inlineStr"/>
      <c r="M41" s="89" t="inlineStr">
        <is>
          <t>7호</t>
        </is>
      </c>
    </row>
    <row r="42">
      <c r="A42" s="89" t="n">
        <v>32</v>
      </c>
      <c r="B42" s="89">
        <f>_xlfn.TEXTJOIN(,,A42,D42)</f>
        <v/>
      </c>
      <c r="C42" s="89" t="n">
        <v>9</v>
      </c>
      <c r="D42" s="89">
        <f>IF(LEN(C42)=1,_xlfn.TEXTJOIN(,,0,C42),C42)</f>
        <v/>
      </c>
      <c r="E42" s="89" t="inlineStr">
        <is>
          <t>성시후</t>
        </is>
      </c>
      <c r="F42" s="89" t="n">
        <v>42221</v>
      </c>
      <c r="G42" s="89" t="inlineStr">
        <is>
          <t>부산광역시 해운대구 마린시티2로 38 , T3동 805호 (우동,해운대I'PARK)</t>
        </is>
      </c>
      <c r="H42" s="89" t="inlineStr">
        <is>
          <t>성명준</t>
        </is>
      </c>
      <c r="I42" s="89" t="inlineStr">
        <is>
          <t>전혜진</t>
        </is>
      </c>
      <c r="J42" s="89" t="inlineStr">
        <is>
          <t>010-8010-7818</t>
        </is>
      </c>
      <c r="K42" s="89" t="inlineStr">
        <is>
          <t>010-8006-7818</t>
        </is>
      </c>
      <c r="L42" s="89" t="inlineStr"/>
      <c r="M42" s="89" t="inlineStr">
        <is>
          <t>5호</t>
        </is>
      </c>
    </row>
    <row r="43">
      <c r="A43" s="89" t="n">
        <v>32</v>
      </c>
      <c r="B43" s="89">
        <f>_xlfn.TEXTJOIN(,,A43,D43)</f>
        <v/>
      </c>
      <c r="C43" s="89" t="n">
        <v>10</v>
      </c>
      <c r="D43" s="89">
        <f>IF(LEN(C43)=1,_xlfn.TEXTJOIN(,,0,C43),C43)</f>
        <v/>
      </c>
      <c r="E43" s="89" t="inlineStr">
        <is>
          <t>신지안</t>
        </is>
      </c>
      <c r="F43" s="89" t="n">
        <v>42247</v>
      </c>
      <c r="G43" s="89" t="inlineStr">
        <is>
          <t>부산광역시 남구 황령대로 504 더비치푸르지오써밋 103-903</t>
        </is>
      </c>
      <c r="H43" s="89" t="inlineStr">
        <is>
          <t>신범준</t>
        </is>
      </c>
      <c r="I43" s="89" t="inlineStr">
        <is>
          <t>신경미</t>
        </is>
      </c>
      <c r="J43" s="89" t="inlineStr">
        <is>
          <t>010-3847-0000</t>
        </is>
      </c>
      <c r="K43" s="89" t="inlineStr">
        <is>
          <t>010-3566-9419</t>
        </is>
      </c>
      <c r="L43" s="89" t="inlineStr"/>
      <c r="M43" s="89" t="inlineStr">
        <is>
          <t>6호</t>
        </is>
      </c>
    </row>
    <row r="44">
      <c r="A44" s="89" t="n">
        <v>32</v>
      </c>
      <c r="B44" s="89">
        <f>_xlfn.TEXTJOIN(,,A44,D44)</f>
        <v/>
      </c>
      <c r="C44" s="89" t="n">
        <v>11</v>
      </c>
      <c r="D44" s="89">
        <f>IF(LEN(C44)=1,_xlfn.TEXTJOIN(,,0,C44),C44)</f>
        <v/>
      </c>
      <c r="E44" s="89" t="inlineStr">
        <is>
          <t>예도윤</t>
        </is>
      </c>
      <c r="F44" s="89" t="n">
        <v>42027</v>
      </c>
      <c r="G44" s="89" t="inlineStr">
        <is>
          <t>부산광역시 연제구 연수로 130 , 103동 2903호 (연산동,연산더샵)</t>
        </is>
      </c>
      <c r="H44" s="89" t="inlineStr">
        <is>
          <t>예지성</t>
        </is>
      </c>
      <c r="I44" s="89" t="inlineStr">
        <is>
          <t>이서정</t>
        </is>
      </c>
      <c r="J44" s="89" t="inlineStr">
        <is>
          <t>010-5028-5585</t>
        </is>
      </c>
      <c r="K44" s="89" t="inlineStr">
        <is>
          <t>010-2213-0860</t>
        </is>
      </c>
      <c r="L44" s="89" t="inlineStr">
        <is>
          <t>1-3 예아림</t>
        </is>
      </c>
      <c r="M44" s="89" t="inlineStr"/>
    </row>
    <row r="45">
      <c r="A45" s="89" t="n">
        <v>32</v>
      </c>
      <c r="B45" s="89">
        <f>_xlfn.TEXTJOIN(,,A45,D45)</f>
        <v/>
      </c>
      <c r="C45" s="89" t="n">
        <v>12</v>
      </c>
      <c r="D45" s="89">
        <f>IF(LEN(C45)=1,_xlfn.TEXTJOIN(,,0,C45),C45)</f>
        <v/>
      </c>
      <c r="E45" s="89" t="inlineStr">
        <is>
          <t>우예현</t>
        </is>
      </c>
      <c r="F45" s="89" t="n">
        <v>42193</v>
      </c>
      <c r="G45" s="89" t="inlineStr">
        <is>
          <t>부산광역시 부산진구 중앙대로666번길 50 , A동 5105호 (부전동,더샵센트럴스타)</t>
        </is>
      </c>
      <c r="H45" s="89" t="inlineStr">
        <is>
          <t>우상욱</t>
        </is>
      </c>
      <c r="I45" s="89" t="inlineStr">
        <is>
          <t>김희정</t>
        </is>
      </c>
      <c r="J45" s="89" t="inlineStr">
        <is>
          <t>010-4813-0986</t>
        </is>
      </c>
      <c r="K45" s="89" t="inlineStr">
        <is>
          <t>010-5254-9465</t>
        </is>
      </c>
      <c r="L45" s="89" t="inlineStr">
        <is>
          <t>5-2 우예나</t>
        </is>
      </c>
      <c r="M45" s="89" t="inlineStr">
        <is>
          <t>6호</t>
        </is>
      </c>
    </row>
    <row r="46">
      <c r="A46" s="89" t="n">
        <v>32</v>
      </c>
      <c r="B46" s="89">
        <f>_xlfn.TEXTJOIN(,,A46,D46)</f>
        <v/>
      </c>
      <c r="C46" s="89" t="n">
        <v>13</v>
      </c>
      <c r="D46" s="89">
        <f>IF(LEN(C46)=1,_xlfn.TEXTJOIN(,,0,C46),C46)</f>
        <v/>
      </c>
      <c r="E46" s="89" t="inlineStr">
        <is>
          <t>이서우</t>
        </is>
      </c>
      <c r="F46" s="89" t="n">
        <v>42227</v>
      </c>
      <c r="G46" s="89" t="inlineStr">
        <is>
          <t>부산광역시 부산진구 범일로154번길 33 , 101동 2803호 (범천동,범일역풍림아이원아파트)</t>
        </is>
      </c>
      <c r="H46" s="89" t="inlineStr">
        <is>
          <t>이상혁</t>
        </is>
      </c>
      <c r="I46" s="89" t="inlineStr">
        <is>
          <t>조현정</t>
        </is>
      </c>
      <c r="J46" s="89" t="inlineStr">
        <is>
          <t>010-2596-7312</t>
        </is>
      </c>
      <c r="K46" s="89" t="inlineStr">
        <is>
          <t>010-8516-6282</t>
        </is>
      </c>
      <c r="L46" s="89" t="inlineStr">
        <is>
          <t>6-2 이혜수</t>
        </is>
      </c>
      <c r="M46" s="89" t="inlineStr">
        <is>
          <t>7호</t>
        </is>
      </c>
    </row>
    <row r="47">
      <c r="A47" s="89" t="n">
        <v>32</v>
      </c>
      <c r="B47" s="89">
        <f>_xlfn.TEXTJOIN(,,A47,D47)</f>
        <v/>
      </c>
      <c r="C47" s="89" t="n">
        <v>14</v>
      </c>
      <c r="D47" s="89">
        <f>IF(LEN(C47)=1,_xlfn.TEXTJOIN(,,0,C47),C47)</f>
        <v/>
      </c>
      <c r="E47" s="89" t="inlineStr">
        <is>
          <t>조윤우</t>
        </is>
      </c>
      <c r="F47" s="89" t="n">
        <v>42100</v>
      </c>
      <c r="G47" s="89" t="inlineStr">
        <is>
          <t>부산광역시 부산진구 동성로 50 , 109동 1601호 (전포동,서면아이파크아파트)</t>
        </is>
      </c>
      <c r="H47" s="89" t="inlineStr">
        <is>
          <t>조형달</t>
        </is>
      </c>
      <c r="I47" s="89" t="inlineStr">
        <is>
          <t>권민혜</t>
        </is>
      </c>
      <c r="J47" s="89" t="inlineStr">
        <is>
          <t>010-3198-1451</t>
        </is>
      </c>
      <c r="K47" s="89" t="inlineStr">
        <is>
          <t>010-5647-0606</t>
        </is>
      </c>
      <c r="L47" s="89" t="inlineStr">
        <is>
          <t>1-4 조윤서</t>
        </is>
      </c>
      <c r="M47" s="89" t="inlineStr"/>
    </row>
    <row r="48">
      <c r="A48" s="89" t="n">
        <v>32</v>
      </c>
      <c r="B48" s="89">
        <f>_xlfn.TEXTJOIN(,,A48,D48)</f>
        <v/>
      </c>
      <c r="C48" s="89" t="n">
        <v>15</v>
      </c>
      <c r="D48" s="89">
        <f>IF(LEN(C48)=1,_xlfn.TEXTJOIN(,,0,C48),C48)</f>
        <v/>
      </c>
      <c r="E48" s="89" t="inlineStr">
        <is>
          <t>천지훈</t>
        </is>
      </c>
      <c r="F48" s="89" t="n">
        <v>42038</v>
      </c>
      <c r="G48" s="89" t="inlineStr">
        <is>
          <t>부산광역시 동래구 사직로 8 , 102동 1301호 (사직동, 사직역 삼정그린코아 더 베스트 1차)</t>
        </is>
      </c>
      <c r="H48" s="89" t="inlineStr">
        <is>
          <t>천병민</t>
        </is>
      </c>
      <c r="I48" s="89" t="inlineStr">
        <is>
          <t>김유라</t>
        </is>
      </c>
      <c r="J48" s="89" t="inlineStr">
        <is>
          <t>010-7572-4660</t>
        </is>
      </c>
      <c r="K48" s="89" t="inlineStr">
        <is>
          <t>010-7455-7878</t>
        </is>
      </c>
      <c r="L48" s="89" t="inlineStr"/>
      <c r="M48" s="89" t="inlineStr">
        <is>
          <t>13호</t>
        </is>
      </c>
    </row>
    <row r="49">
      <c r="A49" s="89" t="n">
        <v>32</v>
      </c>
      <c r="B49" s="89">
        <f>_xlfn.TEXTJOIN(,,A49,D49)</f>
        <v/>
      </c>
      <c r="C49" s="89" t="n">
        <v>16</v>
      </c>
      <c r="D49" s="89">
        <f>IF(LEN(C49)=1,_xlfn.TEXTJOIN(,,0,C49),C49)</f>
        <v/>
      </c>
      <c r="E49" s="89" t="inlineStr">
        <is>
          <t>황유준</t>
        </is>
      </c>
      <c r="F49" s="89" t="n">
        <v>42116</v>
      </c>
      <c r="G49" s="89" t="inlineStr">
        <is>
          <t>부산광역시 연제구 황령산로 615 , 103동 402호 (연산동,연산롯데캐슬골드포레)</t>
        </is>
      </c>
      <c r="H49" s="89" t="inlineStr">
        <is>
          <t>황근련</t>
        </is>
      </c>
      <c r="I49" s="89" t="inlineStr">
        <is>
          <t>김시연</t>
        </is>
      </c>
      <c r="J49" s="89" t="inlineStr">
        <is>
          <t>010-9662-5221</t>
        </is>
      </c>
      <c r="K49" s="89" t="inlineStr">
        <is>
          <t>010-9869-9688</t>
        </is>
      </c>
      <c r="M49" s="89" t="inlineStr"/>
    </row>
    <row r="50">
      <c r="A50" s="89" t="n">
        <v>32</v>
      </c>
      <c r="B50" s="89">
        <f>_xlfn.TEXTJOIN(,,A50,D50)</f>
        <v/>
      </c>
      <c r="C50" s="89" t="n">
        <v>17</v>
      </c>
      <c r="D50" s="89">
        <f>IF(LEN(C50)=1,_xlfn.TEXTJOIN(,,0,C50),C50)</f>
        <v/>
      </c>
      <c r="E50" s="89" t="inlineStr">
        <is>
          <t>황윤호</t>
        </is>
      </c>
      <c r="F50" s="89" t="n">
        <v>42140</v>
      </c>
      <c r="G50" s="89" t="inlineStr">
        <is>
          <t>부산광역시 해운대구 해운대해변로 163 , 102동 901호 (우동,현대베네시티)</t>
        </is>
      </c>
      <c r="H50" s="89" t="inlineStr">
        <is>
          <t>황지영</t>
        </is>
      </c>
      <c r="I50" s="89" t="inlineStr">
        <is>
          <t>박은영</t>
        </is>
      </c>
      <c r="J50" s="89" t="inlineStr">
        <is>
          <t>010-4666-2206</t>
        </is>
      </c>
      <c r="K50" s="89" t="inlineStr">
        <is>
          <t>010-3570-8065</t>
        </is>
      </c>
      <c r="L50" s="89" t="inlineStr"/>
      <c r="M50" s="89" t="inlineStr">
        <is>
          <t>2호</t>
        </is>
      </c>
    </row>
    <row r="51">
      <c r="A51" s="89" t="n">
        <v>32</v>
      </c>
      <c r="B51" s="89">
        <f>_xlfn.TEXTJOIN(,,A51,D51)</f>
        <v/>
      </c>
      <c r="C51" s="89" t="n">
        <v>41</v>
      </c>
      <c r="D51" s="89">
        <f>IF(LEN(C51)=1,_xlfn.TEXTJOIN(,,0,C51),C51)</f>
        <v/>
      </c>
      <c r="E51" s="89" t="inlineStr">
        <is>
          <t>김가은</t>
        </is>
      </c>
      <c r="F51" s="89" t="n">
        <v>42013</v>
      </c>
      <c r="G51" s="89" t="inlineStr">
        <is>
          <t>부산광역시 강서구 명지국제 7로 37, 211동 2106호 (명지동,더샾퍼스트월드)</t>
        </is>
      </c>
      <c r="H51" s="89" t="inlineStr">
        <is>
          <t>김영기</t>
        </is>
      </c>
      <c r="I51" s="89" t="inlineStr">
        <is>
          <t>김민지</t>
        </is>
      </c>
      <c r="J51" s="89" t="inlineStr">
        <is>
          <t>010-3382-0022</t>
        </is>
      </c>
      <c r="K51" s="89" t="inlineStr">
        <is>
          <t>010-7558-9004</t>
        </is>
      </c>
      <c r="L51" s="89" t="inlineStr">
        <is>
          <t>1-3 김시은</t>
        </is>
      </c>
      <c r="M51" s="89" t="inlineStr"/>
    </row>
    <row r="52">
      <c r="A52" s="89" t="n">
        <v>32</v>
      </c>
      <c r="B52" s="89">
        <f>_xlfn.TEXTJOIN(,,A52,D52)</f>
        <v/>
      </c>
      <c r="C52" s="89" t="n">
        <v>42</v>
      </c>
      <c r="D52" s="89">
        <f>IF(LEN(C52)=1,_xlfn.TEXTJOIN(,,0,C52),C52)</f>
        <v/>
      </c>
      <c r="E52" s="89" t="inlineStr">
        <is>
          <t>김나윤</t>
        </is>
      </c>
      <c r="F52" s="89" t="n">
        <v>42262</v>
      </c>
      <c r="G52" s="89" t="inlineStr">
        <is>
          <t>부산광역시 부산진구 가야대로 702 , 101동 3704호 (범천동,서면이-편한세상)</t>
        </is>
      </c>
      <c r="H52" s="89" t="inlineStr">
        <is>
          <t>김용덕</t>
        </is>
      </c>
      <c r="I52" s="89" t="inlineStr">
        <is>
          <t>최은령</t>
        </is>
      </c>
      <c r="J52" s="89" t="inlineStr">
        <is>
          <t>010-2611-3623</t>
        </is>
      </c>
      <c r="K52" s="89" t="inlineStr">
        <is>
          <t>010-2686-3623</t>
        </is>
      </c>
      <c r="L52" s="89" t="inlineStr"/>
      <c r="M52" s="89" t="inlineStr">
        <is>
          <t>14호</t>
        </is>
      </c>
    </row>
    <row r="53">
      <c r="A53" s="89" t="n">
        <v>32</v>
      </c>
      <c r="B53" s="89">
        <f>_xlfn.TEXTJOIN(,,A53,D53)</f>
        <v/>
      </c>
      <c r="C53" s="89" t="n">
        <v>43</v>
      </c>
      <c r="D53" s="89">
        <f>IF(LEN(C53)=1,_xlfn.TEXTJOIN(,,0,C53),C53)</f>
        <v/>
      </c>
      <c r="E53" s="89" t="inlineStr">
        <is>
          <t>김도연</t>
        </is>
      </c>
      <c r="F53" s="89" t="n">
        <v>42291</v>
      </c>
      <c r="G53" s="89" t="inlineStr">
        <is>
          <t>부산광역시 부산진구 중앙대로666번길 50 , B동 1004호 (부전동,더샵센트럴스타)</t>
        </is>
      </c>
      <c r="H53" s="89" t="inlineStr">
        <is>
          <t>김승호</t>
        </is>
      </c>
      <c r="I53" s="89" t="inlineStr">
        <is>
          <t>곽미진</t>
        </is>
      </c>
      <c r="J53" s="89" t="inlineStr">
        <is>
          <t>010-5140-9023</t>
        </is>
      </c>
      <c r="K53" s="89" t="inlineStr">
        <is>
          <t>010-5041-9023</t>
        </is>
      </c>
      <c r="M53" s="89" t="inlineStr">
        <is>
          <t>6호</t>
        </is>
      </c>
    </row>
    <row r="54">
      <c r="A54" s="89" t="n">
        <v>32</v>
      </c>
      <c r="B54" s="89">
        <f>_xlfn.TEXTJOIN(,,A54,D54)</f>
        <v/>
      </c>
      <c r="C54" s="89" t="n">
        <v>44</v>
      </c>
      <c r="D54" s="89">
        <f>IF(LEN(C54)=1,_xlfn.TEXTJOIN(,,0,C54),C54)</f>
        <v/>
      </c>
      <c r="E54" s="89" t="inlineStr">
        <is>
          <t>김하헌</t>
        </is>
      </c>
      <c r="F54" s="89" t="n">
        <v>42272</v>
      </c>
      <c r="G54" s="89" t="inlineStr">
        <is>
          <t>부산광역시 수영구 좌수영로 176 , 104동 1003호 (망미동,센텀수영강변1차e-편한세상)</t>
        </is>
      </c>
      <c r="H54" s="89" t="inlineStr">
        <is>
          <t>김부식</t>
        </is>
      </c>
      <c r="I54" s="89" t="inlineStr">
        <is>
          <t>김경민</t>
        </is>
      </c>
      <c r="J54" s="89" t="inlineStr">
        <is>
          <t>010-9498-1563</t>
        </is>
      </c>
      <c r="K54" s="89" t="inlineStr">
        <is>
          <t>010-2596-1563</t>
        </is>
      </c>
      <c r="L54" s="89" t="inlineStr"/>
      <c r="M54" s="89" t="inlineStr"/>
    </row>
    <row r="55">
      <c r="A55" s="89" t="n">
        <v>32</v>
      </c>
      <c r="B55" s="89">
        <f>_xlfn.TEXTJOIN(,,A55,D55)</f>
        <v/>
      </c>
      <c r="C55" s="89" t="n">
        <v>45</v>
      </c>
      <c r="D55" s="89">
        <f>IF(LEN(C55)=1,_xlfn.TEXTJOIN(,,0,C55),C55)</f>
        <v/>
      </c>
      <c r="E55" s="89" t="inlineStr">
        <is>
          <t>남유지</t>
        </is>
      </c>
      <c r="F55" s="89" t="n">
        <v>42026</v>
      </c>
      <c r="G55" s="89" t="inlineStr">
        <is>
          <t>부산광역시 부산진구 신암로 32 , 104동 102호 (범천동,범천경남아파트)</t>
        </is>
      </c>
      <c r="H55" s="89" t="inlineStr">
        <is>
          <t>남효승</t>
        </is>
      </c>
      <c r="I55" s="89" t="inlineStr">
        <is>
          <t>박수정</t>
        </is>
      </c>
      <c r="J55" s="89" t="inlineStr">
        <is>
          <t>010-3137-2792</t>
        </is>
      </c>
      <c r="K55" s="89" t="inlineStr">
        <is>
          <t>010-3878-8451</t>
        </is>
      </c>
      <c r="L55" s="89" t="inlineStr">
        <is>
          <t xml:space="preserve"> 2-2 남주훈</t>
        </is>
      </c>
      <c r="M55" s="89" t="inlineStr"/>
    </row>
    <row r="56">
      <c r="A56" s="89" t="n">
        <v>32</v>
      </c>
      <c r="B56" s="89">
        <f>_xlfn.TEXTJOIN(,,A56,D56)</f>
        <v/>
      </c>
      <c r="C56" s="89" t="n">
        <v>46</v>
      </c>
      <c r="D56" s="89">
        <f>IF(LEN(C56)=1,_xlfn.TEXTJOIN(,,0,C56),C56)</f>
        <v/>
      </c>
      <c r="E56" s="89" t="inlineStr">
        <is>
          <t>문주하</t>
        </is>
      </c>
      <c r="F56" s="89" t="n">
        <v>42172</v>
      </c>
      <c r="G56" s="89" t="inlineStr">
        <is>
          <t>부산광역시 해운대구 마린시티1로 147 , 2107호 (우동,우신골든스위트)</t>
        </is>
      </c>
      <c r="H56" s="89" t="inlineStr">
        <is>
          <t>문성주</t>
        </is>
      </c>
      <c r="I56" s="89" t="inlineStr">
        <is>
          <t>전소영</t>
        </is>
      </c>
      <c r="J56" s="89" t="inlineStr">
        <is>
          <t>010-6560-1212</t>
        </is>
      </c>
      <c r="K56" s="89" t="inlineStr">
        <is>
          <t>010-2468-8808</t>
        </is>
      </c>
      <c r="L56" s="89" t="inlineStr">
        <is>
          <t>1-4 문채윤</t>
        </is>
      </c>
      <c r="M56" s="89" t="inlineStr">
        <is>
          <t>2호</t>
        </is>
      </c>
    </row>
    <row r="57">
      <c r="A57" s="89" t="n">
        <v>32</v>
      </c>
      <c r="B57" s="89">
        <f>_xlfn.TEXTJOIN(,,A57,D57)</f>
        <v/>
      </c>
      <c r="C57" s="89" t="n">
        <v>47</v>
      </c>
      <c r="D57" s="89">
        <f>IF(LEN(C57)=1,_xlfn.TEXTJOIN(,,0,C57),C57)</f>
        <v/>
      </c>
      <c r="E57" s="89" t="inlineStr">
        <is>
          <t>손윤하</t>
        </is>
      </c>
      <c r="F57" s="89" t="n">
        <v>42216</v>
      </c>
      <c r="G57" s="89" t="inlineStr">
        <is>
          <t>부산광역시 사상구 백양대로342번길 16 , 107동 603호 (주례동,LG신주례아파트)</t>
        </is>
      </c>
      <c r="H57" s="89" t="inlineStr">
        <is>
          <t>손혁호</t>
        </is>
      </c>
      <c r="I57" s="89" t="inlineStr">
        <is>
          <t>안지현</t>
        </is>
      </c>
      <c r="J57" s="89" t="inlineStr">
        <is>
          <t>010-9891-1824</t>
        </is>
      </c>
      <c r="K57" s="89" t="inlineStr">
        <is>
          <t>010-7197-6606</t>
        </is>
      </c>
      <c r="L57" s="89" t="inlineStr"/>
      <c r="M57" s="89" t="inlineStr">
        <is>
          <t>15호</t>
        </is>
      </c>
    </row>
    <row r="58">
      <c r="A58" s="89" t="n">
        <v>32</v>
      </c>
      <c r="B58" s="89">
        <f>_xlfn.TEXTJOIN(,,A58,D58)</f>
        <v/>
      </c>
      <c r="C58" s="89" t="n">
        <v>48</v>
      </c>
      <c r="D58" s="89">
        <f>IF(LEN(C58)=1,_xlfn.TEXTJOIN(,,0,C58),C58)</f>
        <v/>
      </c>
      <c r="E58" s="89" t="inlineStr">
        <is>
          <t>송연서</t>
        </is>
      </c>
      <c r="F58" s="89" t="n">
        <v>42188</v>
      </c>
      <c r="G58" s="89" t="inlineStr">
        <is>
          <t>부산광역시 연제구 종합운동장로 28번길 7, 101동 3005호 (아시아드코오롱하늘채)</t>
        </is>
      </c>
      <c r="H58" s="89" t="inlineStr">
        <is>
          <t>송강열</t>
        </is>
      </c>
      <c r="I58" s="89" t="inlineStr">
        <is>
          <t>차아영</t>
        </is>
      </c>
      <c r="J58" s="89" t="inlineStr">
        <is>
          <t>010-6430-7012</t>
        </is>
      </c>
      <c r="K58" s="89" t="inlineStr">
        <is>
          <t>010-7402-7012</t>
        </is>
      </c>
      <c r="L58" s="89" t="inlineStr"/>
      <c r="M58" s="89" t="inlineStr">
        <is>
          <t>13-1호</t>
        </is>
      </c>
    </row>
    <row r="59">
      <c r="A59" s="89" t="n">
        <v>32</v>
      </c>
      <c r="B59" s="89">
        <f>_xlfn.TEXTJOIN(,,A59,D59)</f>
        <v/>
      </c>
      <c r="C59" s="89" t="n">
        <v>49</v>
      </c>
      <c r="D59" s="89">
        <f>IF(LEN(C59)=1,_xlfn.TEXTJOIN(,,0,C59),C59)</f>
        <v/>
      </c>
      <c r="E59" s="89" t="inlineStr">
        <is>
          <t>유서연</t>
        </is>
      </c>
      <c r="F59" s="89" t="n">
        <v>42080</v>
      </c>
      <c r="G59" s="89" t="inlineStr">
        <is>
          <t>부산광역시 북구 덕천로276번길 85 , 203동 2305호 (만덕동,백양산동문굿모닝힐)</t>
        </is>
      </c>
      <c r="H59" s="89" t="inlineStr">
        <is>
          <t>유재혁</t>
        </is>
      </c>
      <c r="I59" s="89" t="inlineStr">
        <is>
          <t>소유진</t>
        </is>
      </c>
      <c r="J59" s="89" t="inlineStr">
        <is>
          <t>010-2329-8385</t>
        </is>
      </c>
      <c r="K59" s="89" t="inlineStr">
        <is>
          <t>010-7307-8384</t>
        </is>
      </c>
      <c r="L59" s="89" t="inlineStr"/>
      <c r="M59" s="89" t="inlineStr"/>
    </row>
    <row r="60">
      <c r="A60" s="89" t="n">
        <v>32</v>
      </c>
      <c r="B60" s="89">
        <f>_xlfn.TEXTJOIN(,,A60,D60)</f>
        <v/>
      </c>
      <c r="C60" s="89" t="n">
        <v>50</v>
      </c>
      <c r="D60" s="89">
        <f>IF(LEN(C60)=1,_xlfn.TEXTJOIN(,,0,C60),C60)</f>
        <v/>
      </c>
      <c r="E60" s="89" t="inlineStr">
        <is>
          <t>이소민</t>
        </is>
      </c>
      <c r="F60" s="89" t="n">
        <v>42198</v>
      </c>
      <c r="G60" s="89" t="inlineStr">
        <is>
          <t>부산광역시 수영구 광안해변로 448 , 101B동 1902호 (민락동, 수영만 아이파크)</t>
        </is>
      </c>
      <c r="H60" s="89" t="inlineStr">
        <is>
          <t>이지욱</t>
        </is>
      </c>
      <c r="I60" s="89" t="inlineStr">
        <is>
          <t>김나리</t>
        </is>
      </c>
      <c r="J60" s="89" t="inlineStr">
        <is>
          <t>010-6279-9790</t>
        </is>
      </c>
      <c r="K60" s="89" t="inlineStr">
        <is>
          <t>010-6219-9790</t>
        </is>
      </c>
      <c r="L60" s="89" t="inlineStr">
        <is>
          <t>5-2 이소윤</t>
        </is>
      </c>
      <c r="M60" s="89" t="inlineStr">
        <is>
          <t>12호</t>
        </is>
      </c>
    </row>
    <row r="61">
      <c r="A61" s="89" t="n">
        <v>32</v>
      </c>
      <c r="B61" s="89">
        <f>_xlfn.TEXTJOIN(,,A61,D61)</f>
        <v/>
      </c>
      <c r="C61" s="89" t="n">
        <v>51</v>
      </c>
      <c r="D61" s="89">
        <f>IF(LEN(C61)=1,_xlfn.TEXTJOIN(,,0,C61),C61)</f>
        <v/>
      </c>
      <c r="E61" s="89" t="inlineStr">
        <is>
          <t>이연재</t>
        </is>
      </c>
      <c r="F61" s="89" t="n">
        <v>42157</v>
      </c>
      <c r="G61" s="89" t="inlineStr">
        <is>
          <t>부산광역시 수영구 광안해변로 386 , 105동 401호 (민락동,롯데캐슬자이언트)</t>
        </is>
      </c>
      <c r="H61" s="89" t="inlineStr">
        <is>
          <t>이지호</t>
        </is>
      </c>
      <c r="I61" s="89" t="inlineStr">
        <is>
          <t>김승하</t>
        </is>
      </c>
      <c r="J61" s="89" t="inlineStr">
        <is>
          <t>010-8548-8005</t>
        </is>
      </c>
      <c r="K61" s="89" t="inlineStr">
        <is>
          <t>010-8489-0383</t>
        </is>
      </c>
      <c r="L61" s="89" t="inlineStr"/>
      <c r="M61" s="89" t="inlineStr">
        <is>
          <t>12호</t>
        </is>
      </c>
    </row>
    <row r="62">
      <c r="A62" s="89" t="n">
        <v>32</v>
      </c>
      <c r="B62" s="89">
        <f>_xlfn.TEXTJOIN(,,A62,D62)</f>
        <v/>
      </c>
      <c r="C62" s="89" t="n">
        <v>52</v>
      </c>
      <c r="D62" s="89">
        <f>IF(LEN(C62)=1,_xlfn.TEXTJOIN(,,0,C62),C62)</f>
        <v/>
      </c>
      <c r="E62" s="89" t="inlineStr">
        <is>
          <t>이지우</t>
        </is>
      </c>
      <c r="F62" s="89" t="n">
        <v>42339</v>
      </c>
      <c r="G62" s="89" t="inlineStr">
        <is>
          <t>부산광역시 부산진구 가야대로 538 , 105동 1404호 (가야동,가야롯데캐슬골드아너)</t>
        </is>
      </c>
      <c r="H62" s="89" t="inlineStr">
        <is>
          <t>이양현</t>
        </is>
      </c>
      <c r="I62" s="89" t="inlineStr">
        <is>
          <t>김지혜</t>
        </is>
      </c>
      <c r="J62" s="89" t="inlineStr">
        <is>
          <t>010-3242-0498</t>
        </is>
      </c>
      <c r="K62" s="89" t="inlineStr">
        <is>
          <t>010-9335-4877</t>
        </is>
      </c>
      <c r="L62" s="89" t="inlineStr"/>
      <c r="M62" s="89" t="inlineStr">
        <is>
          <t>15호</t>
        </is>
      </c>
    </row>
    <row r="63">
      <c r="A63" s="89" t="n">
        <v>32</v>
      </c>
      <c r="B63" s="89">
        <f>_xlfn.TEXTJOIN(,,A63,D63)</f>
        <v/>
      </c>
      <c r="C63" s="89" t="n">
        <v>53</v>
      </c>
      <c r="D63" s="89">
        <f>IF(LEN(C63)=1,_xlfn.TEXTJOIN(,,0,C63),C63)</f>
        <v/>
      </c>
      <c r="E63" s="89" t="inlineStr">
        <is>
          <t>전은송</t>
        </is>
      </c>
      <c r="F63" s="89" t="n">
        <v>42212</v>
      </c>
      <c r="G63" s="89" t="inlineStr">
        <is>
          <t>부산광역시 해운대구 센텀동로 26 , B동 2705호 (포레나센텀시티)</t>
        </is>
      </c>
      <c r="H63" s="89" t="inlineStr">
        <is>
          <t>전재현</t>
        </is>
      </c>
      <c r="I63" s="89" t="inlineStr">
        <is>
          <t>김정명</t>
        </is>
      </c>
      <c r="J63" s="89" t="inlineStr">
        <is>
          <t>010-3582-8190</t>
        </is>
      </c>
      <c r="K63" s="89" t="inlineStr">
        <is>
          <t>010-2079-5657</t>
        </is>
      </c>
      <c r="L63" s="89" t="inlineStr"/>
      <c r="M63" s="89" t="inlineStr">
        <is>
          <t>3호</t>
        </is>
      </c>
    </row>
    <row r="64">
      <c r="A64" s="89" t="n">
        <v>32</v>
      </c>
      <c r="B64" s="89">
        <f>_xlfn.TEXTJOIN(,,A64,D64)</f>
        <v/>
      </c>
      <c r="C64" s="89" t="n">
        <v>54</v>
      </c>
      <c r="D64" s="89">
        <f>IF(LEN(C64)=1,_xlfn.TEXTJOIN(,,0,C64),C64)</f>
        <v/>
      </c>
      <c r="E64" s="89" t="inlineStr">
        <is>
          <t>진예담</t>
        </is>
      </c>
      <c r="F64" s="89" t="n">
        <v>42081</v>
      </c>
      <c r="G64" s="89" t="inlineStr">
        <is>
          <t>부산광역시 남구 분포로 111 , 133동 1401호 (용호동,LG메트로시티)</t>
        </is>
      </c>
      <c r="H64" s="89" t="inlineStr">
        <is>
          <t>진재원</t>
        </is>
      </c>
      <c r="I64" s="89" t="inlineStr">
        <is>
          <t>곽보경</t>
        </is>
      </c>
      <c r="J64" s="89" t="inlineStr">
        <is>
          <t>010-4941-9472</t>
        </is>
      </c>
      <c r="K64" s="89" t="inlineStr">
        <is>
          <t>010-4945-9472</t>
        </is>
      </c>
      <c r="L64" s="89" t="inlineStr"/>
      <c r="M64" s="89" t="inlineStr">
        <is>
          <t>6호</t>
        </is>
      </c>
    </row>
    <row r="65">
      <c r="A65" s="89" t="n">
        <v>32</v>
      </c>
      <c r="B65" s="89">
        <f>_xlfn.TEXTJOIN(,,A65,D65)</f>
        <v/>
      </c>
      <c r="C65" s="89" t="n">
        <v>55</v>
      </c>
      <c r="D65" s="89">
        <f>IF(LEN(C65)=1,_xlfn.TEXTJOIN(,,0,C65),C65)</f>
        <v/>
      </c>
      <c r="E65" s="89" t="inlineStr">
        <is>
          <t>최지유</t>
        </is>
      </c>
      <c r="F65" s="89" t="n">
        <v>42312</v>
      </c>
      <c r="G65" s="89" t="inlineStr">
        <is>
          <t>부산광역시 해운대구 센텀1로 28 , 101동 4501호 (우동,더블유비씨더팰리스)</t>
        </is>
      </c>
      <c r="H65" s="89" t="inlineStr">
        <is>
          <t>최성환</t>
        </is>
      </c>
      <c r="I65" s="89" t="inlineStr">
        <is>
          <t>하유진</t>
        </is>
      </c>
      <c r="J65" s="89" t="inlineStr">
        <is>
          <t>010-4560-4736</t>
        </is>
      </c>
      <c r="K65" s="89" t="inlineStr">
        <is>
          <t>010-9335-5238</t>
        </is>
      </c>
      <c r="L65" s="89" t="inlineStr"/>
      <c r="M65" s="89" t="inlineStr">
        <is>
          <t>3호</t>
        </is>
      </c>
    </row>
    <row r="66">
      <c r="A66" s="89" t="n">
        <v>33</v>
      </c>
      <c r="B66" s="89">
        <f>_xlfn.TEXTJOIN(,,A66,D66)</f>
        <v/>
      </c>
      <c r="C66" s="89" t="n">
        <v>1</v>
      </c>
      <c r="D66" s="89">
        <f>IF(LEN(C66)=1,_xlfn.TEXTJOIN(,,0,C66),C66)</f>
        <v/>
      </c>
      <c r="E66" s="89" t="inlineStr">
        <is>
          <t>강가온</t>
        </is>
      </c>
      <c r="F66" s="89" t="n">
        <v>42213</v>
      </c>
      <c r="G66" s="89" t="inlineStr">
        <is>
          <t>부산광역시 동래구 아시아드대로146번길 1 , 107동 805호 (사직동,사직롯데캐슬더클래식)</t>
        </is>
      </c>
      <c r="H66" s="89" t="inlineStr">
        <is>
          <t>강주영</t>
        </is>
      </c>
      <c r="I66" s="89" t="inlineStr">
        <is>
          <t>조은애</t>
        </is>
      </c>
      <c r="J66" s="89" t="inlineStr">
        <is>
          <t>010-4120-3317</t>
        </is>
      </c>
      <c r="K66" s="89" t="inlineStr">
        <is>
          <t>010-5880-0210</t>
        </is>
      </c>
      <c r="L66" s="89" t="inlineStr"/>
      <c r="M66" s="89" t="inlineStr">
        <is>
          <t>13호</t>
        </is>
      </c>
    </row>
    <row r="67">
      <c r="A67" s="89" t="n">
        <v>33</v>
      </c>
      <c r="B67" s="89">
        <f>_xlfn.TEXTJOIN(,,A67,D67)</f>
        <v/>
      </c>
      <c r="C67" s="89" t="n">
        <v>2</v>
      </c>
      <c r="D67" s="89">
        <f>IF(LEN(C67)=1,_xlfn.TEXTJOIN(,,0,C67),C67)</f>
        <v/>
      </c>
      <c r="E67" s="89" t="inlineStr">
        <is>
          <t>강민석</t>
        </is>
      </c>
      <c r="F67" s="89" t="n">
        <v>42117</v>
      </c>
      <c r="G67" s="89" t="inlineStr">
        <is>
          <t>부산광역시 남구 분포로 111 , 116동 1101호 (용호동, 엘지메트로시티)</t>
        </is>
      </c>
      <c r="H67" s="89" t="inlineStr">
        <is>
          <t>강수범</t>
        </is>
      </c>
      <c r="I67" s="89" t="inlineStr">
        <is>
          <t>이정미</t>
        </is>
      </c>
      <c r="J67" s="89" t="inlineStr">
        <is>
          <t>010-4800-0888</t>
        </is>
      </c>
      <c r="K67" s="89" t="inlineStr">
        <is>
          <t>010-4785-3680</t>
        </is>
      </c>
      <c r="L67" s="89" t="inlineStr">
        <is>
          <t>5-1 강보성</t>
        </is>
      </c>
      <c r="M67" s="89" t="inlineStr">
        <is>
          <t>11호</t>
        </is>
      </c>
    </row>
    <row r="68">
      <c r="A68" s="89" t="n">
        <v>33</v>
      </c>
      <c r="B68" s="89">
        <f>_xlfn.TEXTJOIN(,,A68,D68)</f>
        <v/>
      </c>
      <c r="C68" s="89" t="n">
        <v>3</v>
      </c>
      <c r="D68" s="89">
        <f>IF(LEN(C68)=1,_xlfn.TEXTJOIN(,,0,C68),C68)</f>
        <v/>
      </c>
      <c r="E68" s="89" t="inlineStr">
        <is>
          <t>강현진</t>
        </is>
      </c>
      <c r="F68" s="89" t="n">
        <v>42129</v>
      </c>
      <c r="G68" s="89" t="inlineStr">
        <is>
          <t>부산광역시 연제구 황령산로 615 , 101동 1205호 (연산동,연산롯데캐슬골드포레)</t>
        </is>
      </c>
      <c r="H68" s="89" t="inlineStr">
        <is>
          <t>강민철</t>
        </is>
      </c>
      <c r="I68" s="89" t="inlineStr">
        <is>
          <t>이은지</t>
        </is>
      </c>
      <c r="J68" s="89" t="inlineStr">
        <is>
          <t>010-6332-8977</t>
        </is>
      </c>
      <c r="K68" s="89" t="inlineStr">
        <is>
          <t>010-4670-6007</t>
        </is>
      </c>
      <c r="L68" s="89" t="inlineStr"/>
      <c r="M68" s="89" t="inlineStr"/>
    </row>
    <row r="69">
      <c r="A69" s="89" t="n">
        <v>33</v>
      </c>
      <c r="B69" s="89">
        <f>_xlfn.TEXTJOIN(,,A69,D69)</f>
        <v/>
      </c>
      <c r="C69" s="89" t="n">
        <v>4</v>
      </c>
      <c r="D69" s="89">
        <f>IF(LEN(C69)=1,_xlfn.TEXTJOIN(,,0,C69),C69)</f>
        <v/>
      </c>
      <c r="E69" s="89" t="inlineStr">
        <is>
          <t>김지후</t>
        </is>
      </c>
      <c r="F69" s="89" t="n">
        <v>42228</v>
      </c>
      <c r="G69" s="89" t="inlineStr">
        <is>
          <t>부산광역시 동래구 사직로 16 , 202동 201호 (사직동,사직역삼정그린코아더베스트2차)</t>
        </is>
      </c>
      <c r="H69" s="89" t="inlineStr">
        <is>
          <t>김동건</t>
        </is>
      </c>
      <c r="I69" s="89" t="inlineStr">
        <is>
          <t>허유리</t>
        </is>
      </c>
      <c r="J69" s="89" t="inlineStr">
        <is>
          <t>010-3232-7037</t>
        </is>
      </c>
      <c r="K69" s="89" t="inlineStr">
        <is>
          <t>010-9320-9885</t>
        </is>
      </c>
      <c r="L69" s="89" t="inlineStr">
        <is>
          <t>1-2 김주현</t>
        </is>
      </c>
      <c r="M69" s="89" t="inlineStr">
        <is>
          <t>13호</t>
        </is>
      </c>
    </row>
    <row r="70">
      <c r="A70" s="89" t="n">
        <v>33</v>
      </c>
      <c r="B70" s="89">
        <f>_xlfn.TEXTJOIN(,,A70,D70)</f>
        <v/>
      </c>
      <c r="C70" s="89" t="n">
        <v>5</v>
      </c>
      <c r="D70" s="89">
        <f>IF(LEN(C70)=1,_xlfn.TEXTJOIN(,,0,C70),C70)</f>
        <v/>
      </c>
      <c r="E70" s="89" t="inlineStr">
        <is>
          <t>류연준</t>
        </is>
      </c>
      <c r="F70" s="89" t="n">
        <v>42359</v>
      </c>
      <c r="G70" s="89" t="inlineStr">
        <is>
          <t>부산광역시 해운대구 마린시티2로 47 , B동 2701호 (우동,트럼프월드마린)</t>
        </is>
      </c>
      <c r="H70" s="89" t="inlineStr">
        <is>
          <t>류희성</t>
        </is>
      </c>
      <c r="I70" s="89" t="inlineStr">
        <is>
          <t>이현정</t>
        </is>
      </c>
      <c r="J70" s="89" t="inlineStr">
        <is>
          <t>010-3765-6227</t>
        </is>
      </c>
      <c r="K70" s="89" t="inlineStr">
        <is>
          <t>010-9334-6227</t>
        </is>
      </c>
      <c r="L70" s="89" t="inlineStr">
        <is>
          <t>5-4 류서준</t>
        </is>
      </c>
      <c r="M70" s="89" t="inlineStr">
        <is>
          <t>5호</t>
        </is>
      </c>
    </row>
    <row r="71">
      <c r="A71" s="89" t="n">
        <v>33</v>
      </c>
      <c r="B71" s="89">
        <f>_xlfn.TEXTJOIN(,,A71,D71)</f>
        <v/>
      </c>
      <c r="C71" s="89" t="n">
        <v>6</v>
      </c>
      <c r="D71" s="89">
        <f>IF(LEN(C71)=1,_xlfn.TEXTJOIN(,,0,C71),C71)</f>
        <v/>
      </c>
      <c r="E71" s="89" t="inlineStr">
        <is>
          <t>배민준</t>
        </is>
      </c>
      <c r="F71" s="89" t="n">
        <v>42225</v>
      </c>
      <c r="G71" s="89" t="inlineStr">
        <is>
          <t>부산광역시 해운대구 센텀중앙로 145 , 108동 4704호 (재송동,더샵센텀파크1차아파트)</t>
        </is>
      </c>
      <c r="H71" s="89" t="inlineStr">
        <is>
          <t>배인한</t>
        </is>
      </c>
      <c r="I71" s="89" t="inlineStr">
        <is>
          <t>송애진</t>
        </is>
      </c>
      <c r="J71" s="89" t="inlineStr">
        <is>
          <t>010-9431-2875</t>
        </is>
      </c>
      <c r="K71" s="89" t="inlineStr">
        <is>
          <t>010-2482-2875</t>
        </is>
      </c>
      <c r="L71" s="89" t="inlineStr"/>
      <c r="M71" s="89" t="inlineStr">
        <is>
          <t>10호</t>
        </is>
      </c>
    </row>
    <row r="72">
      <c r="A72" s="89" t="n">
        <v>33</v>
      </c>
      <c r="B72" s="89">
        <f>_xlfn.TEXTJOIN(,,A72,D72)</f>
        <v/>
      </c>
      <c r="C72" s="89" t="n">
        <v>7</v>
      </c>
      <c r="D72" s="89">
        <f>IF(LEN(C72)=1,_xlfn.TEXTJOIN(,,0,C72),C72)</f>
        <v/>
      </c>
      <c r="E72" s="89" t="inlineStr">
        <is>
          <t>신유준</t>
        </is>
      </c>
      <c r="F72" s="89" t="n">
        <v>42358</v>
      </c>
      <c r="G72" s="89" t="inlineStr">
        <is>
          <t>부산광역시 해운대구 센텀동로 123 , A동 3504호 (재송동,더샵센텀스타아파트)</t>
        </is>
      </c>
      <c r="H72" s="89" t="inlineStr">
        <is>
          <t>신승욱</t>
        </is>
      </c>
      <c r="I72" s="89" t="inlineStr">
        <is>
          <t>엄정현</t>
        </is>
      </c>
      <c r="J72" s="89" t="inlineStr">
        <is>
          <t>010-5252-2280</t>
        </is>
      </c>
      <c r="K72" s="89" t="inlineStr">
        <is>
          <t>010-8558-2504</t>
        </is>
      </c>
      <c r="L72" s="89" t="inlineStr"/>
      <c r="M72" s="89" t="inlineStr">
        <is>
          <t>10호</t>
        </is>
      </c>
    </row>
    <row r="73">
      <c r="A73" s="89" t="n">
        <v>33</v>
      </c>
      <c r="B73" s="89">
        <f>_xlfn.TEXTJOIN(,,A73,D73)</f>
        <v/>
      </c>
      <c r="C73" s="89" t="n">
        <v>8</v>
      </c>
      <c r="D73" s="89">
        <f>IF(LEN(C73)=1,_xlfn.TEXTJOIN(,,0,C73),C73)</f>
        <v/>
      </c>
      <c r="E73" s="89" t="inlineStr">
        <is>
          <t>안수완</t>
        </is>
      </c>
      <c r="F73" s="89" t="n">
        <v>42106</v>
      </c>
      <c r="G73" s="89" t="inlineStr">
        <is>
          <t>부산광역시 남구 황렁대로 504 더비치푸르지오 써밋 101-401</t>
        </is>
      </c>
      <c r="H73" s="89" t="inlineStr">
        <is>
          <t>안성진</t>
        </is>
      </c>
      <c r="I73" s="89" t="inlineStr">
        <is>
          <t>최은영</t>
        </is>
      </c>
      <c r="J73" s="89" t="inlineStr">
        <is>
          <t>010-8986-9356</t>
        </is>
      </c>
      <c r="K73" s="89" t="inlineStr">
        <is>
          <t>010-6500-8261</t>
        </is>
      </c>
      <c r="L73" s="89" t="inlineStr"/>
      <c r="M73" s="89" t="inlineStr">
        <is>
          <t>6호</t>
        </is>
      </c>
    </row>
    <row r="74">
      <c r="A74" s="89" t="n">
        <v>33</v>
      </c>
      <c r="B74" s="89">
        <f>_xlfn.TEXTJOIN(,,A74,D74)</f>
        <v/>
      </c>
      <c r="C74" s="89" t="n">
        <v>9</v>
      </c>
      <c r="D74" s="89">
        <f>IF(LEN(C74)=1,_xlfn.TEXTJOIN(,,0,C74),C74)</f>
        <v/>
      </c>
      <c r="E74" s="89" t="inlineStr">
        <is>
          <t>옥다원</t>
        </is>
      </c>
      <c r="F74" s="89" t="n">
        <v>42102</v>
      </c>
      <c r="G74" s="89" t="inlineStr">
        <is>
          <t>부산광역시 부산진구 신천대로126번길 42</t>
        </is>
      </c>
      <c r="H74" s="89" t="inlineStr">
        <is>
          <t>옥봉재</t>
        </is>
      </c>
      <c r="I74" s="89" t="inlineStr">
        <is>
          <t>고은지</t>
        </is>
      </c>
      <c r="J74" s="89" t="inlineStr">
        <is>
          <t>010-3697-7257</t>
        </is>
      </c>
      <c r="K74" s="89" t="inlineStr">
        <is>
          <t>010-3587-7942</t>
        </is>
      </c>
      <c r="L74" s="89" t="inlineStr"/>
      <c r="M74" s="89" t="inlineStr">
        <is>
          <t>14호</t>
        </is>
      </c>
    </row>
    <row r="75">
      <c r="A75" s="89" t="n">
        <v>33</v>
      </c>
      <c r="B75" s="89">
        <f>_xlfn.TEXTJOIN(,,A75,D75)</f>
        <v/>
      </c>
      <c r="C75" s="89" t="n">
        <v>10</v>
      </c>
      <c r="D75" s="89">
        <f>IF(LEN(C75)=1,_xlfn.TEXTJOIN(,,0,C75),C75)</f>
        <v/>
      </c>
      <c r="E75" s="89" t="inlineStr">
        <is>
          <t>이도현</t>
        </is>
      </c>
      <c r="F75" s="89" t="n">
        <v>42248</v>
      </c>
      <c r="G75" s="89" t="inlineStr">
        <is>
          <t>부산광역시 해운대구 해운대로 108번길 22</t>
        </is>
      </c>
      <c r="H75" s="89" t="inlineStr">
        <is>
          <t>이수원</t>
        </is>
      </c>
      <c r="I75" s="89" t="inlineStr">
        <is>
          <t>하원심</t>
        </is>
      </c>
      <c r="J75" s="89" t="inlineStr">
        <is>
          <t>010-6674-9646</t>
        </is>
      </c>
      <c r="K75" s="89" t="inlineStr">
        <is>
          <t>010-6675-9646</t>
        </is>
      </c>
      <c r="L75" s="89" t="inlineStr">
        <is>
          <t>1-4 이소민</t>
        </is>
      </c>
      <c r="M75" s="89" t="inlineStr">
        <is>
          <t>10호</t>
        </is>
      </c>
    </row>
    <row r="76">
      <c r="A76" s="89" t="n">
        <v>33</v>
      </c>
      <c r="B76" s="89">
        <f>_xlfn.TEXTJOIN(,,A76,D76)</f>
        <v/>
      </c>
      <c r="C76" s="89" t="n">
        <v>11</v>
      </c>
      <c r="D76" s="89">
        <f>IF(LEN(C76)=1,_xlfn.TEXTJOIN(,,0,C76),C76)</f>
        <v/>
      </c>
      <c r="E76" s="89" t="inlineStr">
        <is>
          <t>이상협</t>
        </is>
      </c>
      <c r="F76" s="89" t="n">
        <v>42224</v>
      </c>
      <c r="G76" s="89" t="inlineStr">
        <is>
          <t>부산광역시 남구 분포로 145 , 디동 3104호 (용호동,더블유)</t>
        </is>
      </c>
      <c r="H76" s="89" t="inlineStr">
        <is>
          <t>이동영</t>
        </is>
      </c>
      <c r="I76" s="89" t="inlineStr">
        <is>
          <t>신경화</t>
        </is>
      </c>
      <c r="J76" s="89" t="inlineStr">
        <is>
          <t>010-2546-3476</t>
        </is>
      </c>
      <c r="K76" s="89" t="inlineStr">
        <is>
          <t>010-3283-3476</t>
        </is>
      </c>
      <c r="L76" s="89" t="inlineStr">
        <is>
          <t>5-4 이채은</t>
        </is>
      </c>
      <c r="M76" s="89" t="inlineStr">
        <is>
          <t>6호</t>
        </is>
      </c>
    </row>
    <row r="77">
      <c r="A77" s="89" t="n">
        <v>33</v>
      </c>
      <c r="B77" s="89">
        <f>_xlfn.TEXTJOIN(,,A77,D77)</f>
        <v/>
      </c>
      <c r="C77" s="89" t="n">
        <v>12</v>
      </c>
      <c r="D77" s="89">
        <f>IF(LEN(C77)=1,_xlfn.TEXTJOIN(,,0,C77),C77)</f>
        <v/>
      </c>
      <c r="E77" s="89" t="inlineStr">
        <is>
          <t>임규빈</t>
        </is>
      </c>
      <c r="F77" s="89" t="n">
        <v>42010</v>
      </c>
      <c r="G77" s="89" t="inlineStr">
        <is>
          <t>부산광역시 연제구 연제로 21 , 104동 1202호 (연산동,연제힐스테이트)</t>
        </is>
      </c>
      <c r="H77" s="89" t="inlineStr">
        <is>
          <t>임재훈</t>
        </is>
      </c>
      <c r="I77" s="89" t="inlineStr">
        <is>
          <t>김혜선</t>
        </is>
      </c>
      <c r="J77" s="89" t="inlineStr">
        <is>
          <t>010-2460-4283</t>
        </is>
      </c>
      <c r="K77" s="89" t="inlineStr">
        <is>
          <t>010-3889-8887</t>
        </is>
      </c>
      <c r="L77" s="89" t="inlineStr"/>
      <c r="M77" s="89" t="inlineStr">
        <is>
          <t>13-1호</t>
        </is>
      </c>
    </row>
    <row r="78">
      <c r="A78" s="89" t="n">
        <v>33</v>
      </c>
      <c r="B78" s="89">
        <f>_xlfn.TEXTJOIN(,,A78,D78)</f>
        <v/>
      </c>
      <c r="C78" s="89" t="n">
        <v>13</v>
      </c>
      <c r="D78" s="89">
        <f>IF(LEN(C78)=1,_xlfn.TEXTJOIN(,,0,C78),C78)</f>
        <v/>
      </c>
      <c r="E78" s="89" t="inlineStr">
        <is>
          <t>장한울</t>
        </is>
      </c>
      <c r="F78" s="89" t="n">
        <v>42336</v>
      </c>
      <c r="G78" s="89" t="inlineStr">
        <is>
          <t>부산광역시 연제구 아시아드대로7 거제쌍용더플래티넘 102동 2001호</t>
        </is>
      </c>
      <c r="H78" s="89" t="inlineStr">
        <is>
          <t>장익선</t>
        </is>
      </c>
      <c r="I78" s="89" t="inlineStr">
        <is>
          <t>한은진</t>
        </is>
      </c>
      <c r="J78" s="89" t="inlineStr">
        <is>
          <t>010-9303-6567</t>
        </is>
      </c>
      <c r="K78" s="89" t="inlineStr">
        <is>
          <t>010-6828-5565</t>
        </is>
      </c>
      <c r="L78" s="89" t="inlineStr"/>
      <c r="M78" s="89" t="inlineStr">
        <is>
          <t>13-1호</t>
        </is>
      </c>
    </row>
    <row r="79">
      <c r="A79" s="89" t="n">
        <v>33</v>
      </c>
      <c r="B79" s="89">
        <f>_xlfn.TEXTJOIN(,,A79,D79)</f>
        <v/>
      </c>
      <c r="C79" s="89" t="n">
        <v>14</v>
      </c>
      <c r="D79" s="89">
        <f>IF(LEN(C79)=1,_xlfn.TEXTJOIN(,,0,C79),C79)</f>
        <v/>
      </c>
      <c r="E79" s="89" t="inlineStr">
        <is>
          <t>정채현</t>
        </is>
      </c>
      <c r="F79" s="89" t="n">
        <v>42324</v>
      </c>
      <c r="G79" s="89" t="inlineStr">
        <is>
          <t>부산광역시 남구 분포로 145 , 씨동 402호 (용호동,더블유)</t>
        </is>
      </c>
      <c r="H79" s="89" t="inlineStr">
        <is>
          <t>정무영</t>
        </is>
      </c>
      <c r="I79" s="89" t="inlineStr">
        <is>
          <t>백동주</t>
        </is>
      </c>
      <c r="J79" s="89" t="inlineStr">
        <is>
          <t>010-4633-2875</t>
        </is>
      </c>
      <c r="K79" s="89" t="inlineStr">
        <is>
          <t>010-5051-7372</t>
        </is>
      </c>
      <c r="L79" s="89" t="inlineStr">
        <is>
          <t>6-4 정라겸</t>
        </is>
      </c>
      <c r="M79" s="89" t="inlineStr">
        <is>
          <t>6호</t>
        </is>
      </c>
    </row>
    <row r="80">
      <c r="A80" s="89" t="n">
        <v>33</v>
      </c>
      <c r="B80" s="89">
        <f>_xlfn.TEXTJOIN(,,A80,D80)</f>
        <v/>
      </c>
      <c r="C80" s="89" t="n">
        <v>15</v>
      </c>
      <c r="D80" s="89">
        <f>IF(LEN(C80)=1,_xlfn.TEXTJOIN(,,0,C80),C80)</f>
        <v/>
      </c>
      <c r="E80" s="89" t="inlineStr">
        <is>
          <t>최윤호</t>
        </is>
      </c>
      <c r="F80" s="89" t="n">
        <v>42192</v>
      </c>
      <c r="G80" s="89" t="inlineStr">
        <is>
          <t>부산광역시 수영구 남천동로 41 , 105동 602호 (남천동,코오롱하늘채골든비치아파트)</t>
        </is>
      </c>
      <c r="H80" s="89" t="inlineStr">
        <is>
          <t>최대성</t>
        </is>
      </c>
      <c r="I80" s="89" t="inlineStr">
        <is>
          <t>손지혜</t>
        </is>
      </c>
      <c r="J80" s="89" t="inlineStr">
        <is>
          <t>010-4588-8935</t>
        </is>
      </c>
      <c r="K80" s="89" t="inlineStr">
        <is>
          <t>010-9397-8718</t>
        </is>
      </c>
      <c r="L80" s="89" t="inlineStr"/>
      <c r="M80" s="89" t="inlineStr"/>
    </row>
    <row r="81">
      <c r="A81" s="89" t="n">
        <v>33</v>
      </c>
      <c r="B81" s="89">
        <f>_xlfn.TEXTJOIN(,,A81,D81)</f>
        <v/>
      </c>
      <c r="C81" s="89" t="n">
        <v>16</v>
      </c>
      <c r="D81" s="89">
        <f>IF(LEN(C81)=1,_xlfn.TEXTJOIN(,,0,C81),C81)</f>
        <v/>
      </c>
      <c r="E81" s="89" t="inlineStr">
        <is>
          <t>최이현</t>
        </is>
      </c>
      <c r="F81" s="89" t="n">
        <v>42094</v>
      </c>
      <c r="G81" s="89" t="inlineStr">
        <is>
          <t>부산광역시 해운대구 좌동순환로 299번길11 벽산2차 203동1402호</t>
        </is>
      </c>
      <c r="H81" s="89" t="inlineStr">
        <is>
          <t>최호세</t>
        </is>
      </c>
      <c r="I81" s="89" t="inlineStr">
        <is>
          <t>장인선</t>
        </is>
      </c>
      <c r="J81" s="89" t="inlineStr">
        <is>
          <t>010-9386-8220</t>
        </is>
      </c>
      <c r="K81" s="89" t="inlineStr">
        <is>
          <t>010-9443-8220</t>
        </is>
      </c>
      <c r="M81" s="89" t="inlineStr">
        <is>
          <t>3호</t>
        </is>
      </c>
    </row>
    <row r="82">
      <c r="A82" s="89" t="n">
        <v>33</v>
      </c>
      <c r="B82" s="89">
        <f>_xlfn.TEXTJOIN(,,A82,D82)</f>
        <v/>
      </c>
      <c r="C82" s="89" t="n">
        <v>17</v>
      </c>
      <c r="D82" s="89">
        <f>IF(LEN(C82)=1,_xlfn.TEXTJOIN(,,0,C82),C82)</f>
        <v/>
      </c>
      <c r="E82" s="89" t="inlineStr">
        <is>
          <t>최현오</t>
        </is>
      </c>
      <c r="F82" s="89" t="n">
        <v>42352</v>
      </c>
      <c r="G82" s="89" t="inlineStr">
        <is>
          <t>부산광역시 부산진구 중앙대로666번길 50 , D동 1001호 (부전동,더샵센트럴스타)</t>
        </is>
      </c>
      <c r="H82" s="89" t="inlineStr">
        <is>
          <t>최상훈</t>
        </is>
      </c>
      <c r="I82" s="89" t="inlineStr">
        <is>
          <t>송지연</t>
        </is>
      </c>
      <c r="J82" s="89" t="inlineStr">
        <is>
          <t>010-5356-2544</t>
        </is>
      </c>
      <c r="K82" s="89" t="inlineStr">
        <is>
          <t>010-8525-4479</t>
        </is>
      </c>
      <c r="L82" s="89" t="inlineStr"/>
      <c r="M82" s="89" t="inlineStr">
        <is>
          <t>6호</t>
        </is>
      </c>
    </row>
    <row r="83">
      <c r="A83" s="89" t="n">
        <v>33</v>
      </c>
      <c r="B83" s="89">
        <f>_xlfn.TEXTJOIN(,,A83,D83)</f>
        <v/>
      </c>
      <c r="C83" s="89" t="n">
        <v>41</v>
      </c>
      <c r="D83" s="89">
        <f>IF(LEN(C83)=1,_xlfn.TEXTJOIN(,,0,C83),C83)</f>
        <v/>
      </c>
      <c r="E83" s="89" t="inlineStr">
        <is>
          <t>김보민</t>
        </is>
      </c>
      <c r="F83" s="89" t="n">
        <v>42270</v>
      </c>
      <c r="G83" s="89" t="inlineStr">
        <is>
          <t>부산광역시 부산진구 중앙대로666번길 50 , C동 3206호 (부전동,더샵센트럴스타)</t>
        </is>
      </c>
      <c r="H83" s="89" t="inlineStr">
        <is>
          <t>김정호</t>
        </is>
      </c>
      <c r="I83" s="89" t="inlineStr">
        <is>
          <t>고명진</t>
        </is>
      </c>
      <c r="J83" s="89" t="inlineStr">
        <is>
          <t>010-8505-2350</t>
        </is>
      </c>
      <c r="K83" s="89" t="inlineStr">
        <is>
          <t>010-3053-9535</t>
        </is>
      </c>
      <c r="L83" s="89" t="inlineStr">
        <is>
          <t>4-1 김태연</t>
        </is>
      </c>
      <c r="M83" s="89" t="inlineStr">
        <is>
          <t>6호</t>
        </is>
      </c>
    </row>
    <row r="84">
      <c r="A84" s="89" t="n">
        <v>33</v>
      </c>
      <c r="B84" s="89">
        <f>_xlfn.TEXTJOIN(,,A84,D84)</f>
        <v/>
      </c>
      <c r="C84" s="89" t="n">
        <v>42</v>
      </c>
      <c r="D84" s="89">
        <f>IF(LEN(C84)=1,_xlfn.TEXTJOIN(,,0,C84),C84)</f>
        <v/>
      </c>
      <c r="E84" s="89" t="inlineStr">
        <is>
          <t>김샤론</t>
        </is>
      </c>
      <c r="F84" s="89" t="n">
        <v>42157</v>
      </c>
      <c r="G84" s="89" t="inlineStr">
        <is>
          <t>부산광역시 동구 자성로133번길 6 , 101동 1332호 (범일동,진흥마제스타워범일)</t>
        </is>
      </c>
      <c r="H84" s="89" t="inlineStr">
        <is>
          <t>김동혁</t>
        </is>
      </c>
      <c r="I84" s="89" t="inlineStr">
        <is>
          <t>김종순</t>
        </is>
      </c>
      <c r="J84" s="89" t="inlineStr">
        <is>
          <t>010-5210-1840</t>
        </is>
      </c>
      <c r="K84" s="89" t="inlineStr">
        <is>
          <t>010-6500-9092</t>
        </is>
      </c>
      <c r="L84" s="89" t="inlineStr"/>
      <c r="M84" s="89" t="inlineStr">
        <is>
          <t>7호</t>
        </is>
      </c>
    </row>
    <row r="85">
      <c r="A85" s="89" t="n">
        <v>33</v>
      </c>
      <c r="B85" s="89">
        <f>_xlfn.TEXTJOIN(,,A85,D85)</f>
        <v/>
      </c>
      <c r="C85" s="89" t="n">
        <v>43</v>
      </c>
      <c r="D85" s="89">
        <f>IF(LEN(C85)=1,_xlfn.TEXTJOIN(,,0,C85),C85)</f>
        <v/>
      </c>
      <c r="E85" s="89" t="inlineStr">
        <is>
          <t>김서연</t>
        </is>
      </c>
      <c r="F85" s="89" t="n">
        <v>42038</v>
      </c>
      <c r="G85" s="89" t="inlineStr">
        <is>
          <t>부산광역시 해운대구 센텀동로 123 , A동 3102호 (재송동,더샵센텀스타아파트)</t>
        </is>
      </c>
      <c r="H85" s="89" t="inlineStr">
        <is>
          <t>김연구</t>
        </is>
      </c>
      <c r="I85" s="89" t="inlineStr">
        <is>
          <t>배지영</t>
        </is>
      </c>
      <c r="J85" s="89" t="inlineStr">
        <is>
          <t>010-9357-9908</t>
        </is>
      </c>
      <c r="K85" s="89" t="inlineStr">
        <is>
          <t>010-2335-2174</t>
        </is>
      </c>
      <c r="L85" s="89" t="inlineStr"/>
      <c r="M85" s="89" t="inlineStr">
        <is>
          <t>10호</t>
        </is>
      </c>
    </row>
    <row r="86">
      <c r="A86" s="89" t="n">
        <v>33</v>
      </c>
      <c r="B86" s="89">
        <f>_xlfn.TEXTJOIN(,,A86,D86)</f>
        <v/>
      </c>
      <c r="C86" s="89" t="n">
        <v>44</v>
      </c>
      <c r="D86" s="89">
        <f>IF(LEN(C86)=1,_xlfn.TEXTJOIN(,,0,C86),C86)</f>
        <v/>
      </c>
      <c r="E86" s="89" t="inlineStr">
        <is>
          <t>박유빈</t>
        </is>
      </c>
      <c r="F86" s="89" t="n">
        <v>42249</v>
      </c>
      <c r="G86" s="89" t="inlineStr">
        <is>
          <t>부산광역시 진구 가야공원로 41 가야반도보라빌 107동 1505호</t>
        </is>
      </c>
      <c r="H86" s="89" t="inlineStr">
        <is>
          <t>박현석</t>
        </is>
      </c>
      <c r="I86" s="89" t="inlineStr">
        <is>
          <t>권미금</t>
        </is>
      </c>
      <c r="J86" s="89" t="inlineStr">
        <is>
          <t>010-5552-7319</t>
        </is>
      </c>
      <c r="K86" s="89" t="inlineStr">
        <is>
          <t>010-9329-9652</t>
        </is>
      </c>
      <c r="L86" s="89" t="inlineStr"/>
      <c r="M86" s="89" t="inlineStr">
        <is>
          <t>15호</t>
        </is>
      </c>
    </row>
    <row r="87">
      <c r="A87" s="89" t="n">
        <v>33</v>
      </c>
      <c r="B87" s="89">
        <f>_xlfn.TEXTJOIN(,,A87,D87)</f>
        <v/>
      </c>
      <c r="C87" s="89" t="n">
        <v>45</v>
      </c>
      <c r="D87" s="89">
        <f>IF(LEN(C87)=1,_xlfn.TEXTJOIN(,,0,C87),C87)</f>
        <v/>
      </c>
      <c r="E87" s="89" t="inlineStr">
        <is>
          <t>박지유</t>
        </is>
      </c>
      <c r="F87" s="89" t="n">
        <v>42365</v>
      </c>
      <c r="G87" s="89" t="inlineStr">
        <is>
          <t>부산광역시 해운대구 마린시티2로 33 , 103동 6801호 (우동,해운대두산위브더제니스)</t>
        </is>
      </c>
      <c r="H87" s="89" t="inlineStr">
        <is>
          <t>박성진</t>
        </is>
      </c>
      <c r="I87" s="89" t="inlineStr">
        <is>
          <t>강은주</t>
        </is>
      </c>
      <c r="J87" s="89" t="inlineStr">
        <is>
          <t>010-7321-0123</t>
        </is>
      </c>
      <c r="K87" s="89" t="inlineStr">
        <is>
          <t>010-9322-4045</t>
        </is>
      </c>
      <c r="L87" s="89" t="inlineStr"/>
      <c r="M87" s="89" t="inlineStr">
        <is>
          <t>1호</t>
        </is>
      </c>
    </row>
    <row r="88">
      <c r="A88" s="89" t="n">
        <v>33</v>
      </c>
      <c r="B88" s="89">
        <f>_xlfn.TEXTJOIN(,,A88,D88)</f>
        <v/>
      </c>
      <c r="C88" s="89" t="n">
        <v>46</v>
      </c>
      <c r="D88" s="89">
        <f>IF(LEN(C88)=1,_xlfn.TEXTJOIN(,,0,C88),C88)</f>
        <v/>
      </c>
      <c r="E88" s="89" t="inlineStr">
        <is>
          <t>백한나</t>
        </is>
      </c>
      <c r="F88" s="89" t="n">
        <v>42377</v>
      </c>
      <c r="G88" s="89" t="inlineStr">
        <is>
          <t>부산광역시 해운대구 센텀동로26 b동 3001호</t>
        </is>
      </c>
      <c r="H88" s="89" t="inlineStr">
        <is>
          <t>백승조</t>
        </is>
      </c>
      <c r="I88" s="89" t="inlineStr">
        <is>
          <t>김난영</t>
        </is>
      </c>
      <c r="J88" s="89" t="inlineStr">
        <is>
          <t>010-5762-9947</t>
        </is>
      </c>
      <c r="K88" s="89" t="inlineStr">
        <is>
          <t>010-5755-9947</t>
        </is>
      </c>
      <c r="M88" s="89" t="inlineStr">
        <is>
          <t>3호</t>
        </is>
      </c>
    </row>
    <row r="89">
      <c r="A89" s="89" t="n">
        <v>33</v>
      </c>
      <c r="B89" s="89">
        <f>_xlfn.TEXTJOIN(,,A89,D89)</f>
        <v/>
      </c>
      <c r="C89" s="89" t="n">
        <v>47</v>
      </c>
      <c r="D89" s="89">
        <f>IF(LEN(C89)=1,_xlfn.TEXTJOIN(,,0,C89),C89)</f>
        <v/>
      </c>
      <c r="E89" s="89" t="inlineStr">
        <is>
          <t>서지유</t>
        </is>
      </c>
      <c r="F89" s="89" t="n">
        <v>42322</v>
      </c>
      <c r="G89" s="89" t="inlineStr">
        <is>
          <t>부산광역시 부산진구 가야공원로 41 , 106동 1003호 (가야동,가야반도보라빌)</t>
        </is>
      </c>
      <c r="H89" s="89" t="inlineStr">
        <is>
          <t>서정민</t>
        </is>
      </c>
      <c r="I89" s="89" t="inlineStr">
        <is>
          <t>한지수</t>
        </is>
      </c>
      <c r="J89" s="89" t="inlineStr">
        <is>
          <t>010-9650-7088</t>
        </is>
      </c>
      <c r="K89" s="89" t="inlineStr">
        <is>
          <t>010-5236-1895</t>
        </is>
      </c>
      <c r="L89" s="89" t="inlineStr"/>
      <c r="M89" s="89" t="inlineStr">
        <is>
          <t>15호</t>
        </is>
      </c>
    </row>
    <row r="90">
      <c r="A90" s="89" t="n">
        <v>33</v>
      </c>
      <c r="B90" s="89">
        <f>_xlfn.TEXTJOIN(,,A90,D90)</f>
        <v/>
      </c>
      <c r="C90" s="89" t="n">
        <v>48</v>
      </c>
      <c r="D90" s="89">
        <f>IF(LEN(C90)=1,_xlfn.TEXTJOIN(,,0,C90),C90)</f>
        <v/>
      </c>
      <c r="E90" s="89" t="inlineStr">
        <is>
          <t>손예은</t>
        </is>
      </c>
      <c r="F90" s="89" t="n">
        <v>42215</v>
      </c>
      <c r="G90" s="89" t="inlineStr">
        <is>
          <t>부산광역시 남구 수영로325번길 61 , 103동 101호 (대연동,대연롯데캐슬)</t>
        </is>
      </c>
      <c r="H90" s="89" t="inlineStr">
        <is>
          <t>손우성</t>
        </is>
      </c>
      <c r="I90" s="89" t="inlineStr">
        <is>
          <t>박경란</t>
        </is>
      </c>
      <c r="J90" s="89" t="inlineStr">
        <is>
          <t>010-9909-4495</t>
        </is>
      </c>
      <c r="K90" s="89" t="inlineStr">
        <is>
          <t>010-2868-4506</t>
        </is>
      </c>
      <c r="L90" s="89" t="inlineStr">
        <is>
          <t>1-2 손예서</t>
        </is>
      </c>
      <c r="M90" s="89" t="inlineStr">
        <is>
          <t>7호</t>
        </is>
      </c>
    </row>
    <row r="91">
      <c r="A91" s="89" t="n">
        <v>33</v>
      </c>
      <c r="B91" s="89">
        <f>_xlfn.TEXTJOIN(,,A91,D91)</f>
        <v/>
      </c>
      <c r="C91" s="89" t="n">
        <v>49</v>
      </c>
      <c r="D91" s="89">
        <f>IF(LEN(C91)=1,_xlfn.TEXTJOIN(,,0,C91),C91)</f>
        <v/>
      </c>
      <c r="E91" s="89" t="inlineStr">
        <is>
          <t>손지우</t>
        </is>
      </c>
      <c r="F91" s="89" t="n">
        <v>42216</v>
      </c>
      <c r="G91" s="89" t="inlineStr">
        <is>
          <t>부산광역시 연제구 아시아드대로 7 쌍용플래티넘거제아시아드 102-502호</t>
        </is>
      </c>
      <c r="H91" s="89" t="inlineStr">
        <is>
          <t>손임주</t>
        </is>
      </c>
      <c r="I91" s="89" t="inlineStr">
        <is>
          <t>신란희</t>
        </is>
      </c>
      <c r="J91" s="89" t="inlineStr">
        <is>
          <t>010-4208-3833</t>
        </is>
      </c>
      <c r="K91" s="89" t="inlineStr">
        <is>
          <t>010-9755-8257</t>
        </is>
      </c>
      <c r="L91" s="89" t="inlineStr"/>
      <c r="M91" s="89" t="inlineStr">
        <is>
          <t>13-1호</t>
        </is>
      </c>
    </row>
    <row r="92">
      <c r="A92" s="89" t="n">
        <v>33</v>
      </c>
      <c r="B92" s="89">
        <f>_xlfn.TEXTJOIN(,,A92,D92)</f>
        <v/>
      </c>
      <c r="C92" s="89" t="n">
        <v>50</v>
      </c>
      <c r="D92" s="89">
        <f>IF(LEN(C92)=1,_xlfn.TEXTJOIN(,,0,C92),C92)</f>
        <v/>
      </c>
      <c r="E92" s="89" t="inlineStr">
        <is>
          <t>유지민</t>
        </is>
      </c>
      <c r="F92" s="89" t="n">
        <v>42173</v>
      </c>
      <c r="G92" s="89" t="inlineStr">
        <is>
          <t>부산광역시 해운대구 센텀동로 123 , B동 805호 (재송동,더샵센텀스타아파트)</t>
        </is>
      </c>
      <c r="H92" s="89" t="inlineStr">
        <is>
          <t>유상곤</t>
        </is>
      </c>
      <c r="I92" s="89" t="inlineStr">
        <is>
          <t>이채원</t>
        </is>
      </c>
      <c r="J92" s="89" t="inlineStr">
        <is>
          <t>010-9314-0500</t>
        </is>
      </c>
      <c r="K92" s="89" t="inlineStr">
        <is>
          <t>010-2560-8022</t>
        </is>
      </c>
      <c r="L92" s="89" t="inlineStr"/>
      <c r="M92" s="89" t="inlineStr">
        <is>
          <t>10호</t>
        </is>
      </c>
    </row>
    <row r="93">
      <c r="A93" s="89" t="n">
        <v>33</v>
      </c>
      <c r="B93" s="89">
        <f>_xlfn.TEXTJOIN(,,A93,D93)</f>
        <v/>
      </c>
      <c r="C93" s="89" t="n">
        <v>51</v>
      </c>
      <c r="D93" s="89">
        <f>IF(LEN(C93)=1,_xlfn.TEXTJOIN(,,0,C93),C93)</f>
        <v/>
      </c>
      <c r="E93" s="89" t="inlineStr">
        <is>
          <t>장윤서</t>
        </is>
      </c>
      <c r="F93" s="89" t="n">
        <v>42166</v>
      </c>
      <c r="G93" s="89" t="inlineStr">
        <is>
          <t>부산광역시 수영구 수영로 397-31 , 401호 (남천동)</t>
        </is>
      </c>
      <c r="H93" s="89" t="inlineStr">
        <is>
          <t>장기홍</t>
        </is>
      </c>
      <c r="I93" s="89" t="inlineStr">
        <is>
          <t>김윤정</t>
        </is>
      </c>
      <c r="J93" s="89" t="inlineStr">
        <is>
          <t>010-9608-9778</t>
        </is>
      </c>
      <c r="K93" s="89" t="inlineStr">
        <is>
          <t>010-5492-8828</t>
        </is>
      </c>
      <c r="L93" s="89" t="inlineStr"/>
      <c r="M93" s="89" t="inlineStr">
        <is>
          <t>1호</t>
        </is>
      </c>
    </row>
    <row r="94">
      <c r="A94" s="89" t="n">
        <v>33</v>
      </c>
      <c r="B94" s="89">
        <f>_xlfn.TEXTJOIN(,,A94,D94)</f>
        <v/>
      </c>
      <c r="C94" s="89" t="n">
        <v>52</v>
      </c>
      <c r="D94" s="89">
        <f>IF(LEN(C94)=1,_xlfn.TEXTJOIN(,,0,C94),C94)</f>
        <v/>
      </c>
      <c r="E94" s="89" t="inlineStr">
        <is>
          <t>전윤하</t>
        </is>
      </c>
      <c r="F94" s="89" t="n">
        <v>42006</v>
      </c>
      <c r="G94" s="89" t="inlineStr">
        <is>
          <t>부산광역시 남구 수영로 345 , 108동 1203호 (대연동,대연힐스테이트푸르지오)</t>
        </is>
      </c>
      <c r="H94" s="89" t="inlineStr">
        <is>
          <t>전지환</t>
        </is>
      </c>
      <c r="I94" s="89" t="inlineStr">
        <is>
          <t>이수경</t>
        </is>
      </c>
      <c r="J94" s="89" t="inlineStr">
        <is>
          <t>010-8500-8569</t>
        </is>
      </c>
      <c r="K94" s="89" t="inlineStr">
        <is>
          <t>010-7128-4131</t>
        </is>
      </c>
      <c r="L94" s="89" t="inlineStr">
        <is>
          <t>5-3 전동준</t>
        </is>
      </c>
      <c r="M94" s="89" t="inlineStr">
        <is>
          <t>7호</t>
        </is>
      </c>
    </row>
    <row r="95">
      <c r="A95" s="89" t="n">
        <v>33</v>
      </c>
      <c r="B95" s="89">
        <f>_xlfn.TEXTJOIN(,,A95,D95)</f>
        <v/>
      </c>
      <c r="C95" s="89" t="n">
        <v>53</v>
      </c>
      <c r="D95" s="89">
        <f>IF(LEN(C95)=1,_xlfn.TEXTJOIN(,,0,C95),C95)</f>
        <v/>
      </c>
      <c r="E95" s="89" t="inlineStr">
        <is>
          <t>최서윤</t>
        </is>
      </c>
      <c r="F95" s="89" t="n">
        <v>42226</v>
      </c>
      <c r="G95" s="89" t="inlineStr">
        <is>
          <t>부산광역시 해운대구 센텀중앙로 145 , 102동 401호 (재송동,더샵센텀파크1차아파트)</t>
        </is>
      </c>
      <c r="H95" s="89" t="inlineStr">
        <is>
          <t>최선우</t>
        </is>
      </c>
      <c r="I95" s="89" t="inlineStr">
        <is>
          <t>이민정</t>
        </is>
      </c>
      <c r="J95" s="89" t="inlineStr">
        <is>
          <t>010-4641-8055</t>
        </is>
      </c>
      <c r="K95" s="89" t="inlineStr">
        <is>
          <t>010-8923-9405</t>
        </is>
      </c>
      <c r="L95" s="89" t="inlineStr">
        <is>
          <t>4-3 최서현</t>
        </is>
      </c>
      <c r="M95" s="89" t="inlineStr">
        <is>
          <t>10호</t>
        </is>
      </c>
    </row>
    <row r="96">
      <c r="A96" s="89" t="n">
        <v>33</v>
      </c>
      <c r="B96" s="89">
        <f>_xlfn.TEXTJOIN(,,A96,D96)</f>
        <v/>
      </c>
      <c r="C96" s="89" t="n">
        <v>54</v>
      </c>
      <c r="D96" s="89">
        <f>IF(LEN(C96)=1,_xlfn.TEXTJOIN(,,0,C96),C96)</f>
        <v/>
      </c>
      <c r="E96" s="89" t="inlineStr">
        <is>
          <t>최정원</t>
        </is>
      </c>
      <c r="F96" s="89" t="n">
        <v>42192</v>
      </c>
      <c r="G96" s="89" t="inlineStr">
        <is>
          <t>부산광역시 해운대구 센텀중앙로 145 , 106동 3303호 (재송동,더?센텀파크1차아파트)</t>
        </is>
      </c>
      <c r="H96" s="89" t="inlineStr">
        <is>
          <t>최봉수</t>
        </is>
      </c>
      <c r="I96" s="89" t="inlineStr">
        <is>
          <t>이봉은</t>
        </is>
      </c>
      <c r="J96" s="89" t="inlineStr">
        <is>
          <t>010-4143-4785</t>
        </is>
      </c>
      <c r="K96" s="89" t="inlineStr">
        <is>
          <t>010-3255-4785</t>
        </is>
      </c>
      <c r="L96" s="89" t="inlineStr"/>
      <c r="M96" s="89" t="inlineStr">
        <is>
          <t>10호</t>
        </is>
      </c>
    </row>
    <row r="97">
      <c r="A97" s="89" t="n">
        <v>33</v>
      </c>
      <c r="B97" s="89">
        <f>_xlfn.TEXTJOIN(,,A97,D97)</f>
        <v/>
      </c>
      <c r="C97" s="89" t="n">
        <v>55</v>
      </c>
      <c r="D97" s="89">
        <f>IF(LEN(C97)=1,_xlfn.TEXTJOIN(,,0,C97),C97)</f>
        <v/>
      </c>
      <c r="E97" s="89" t="inlineStr">
        <is>
          <t>탁혜윰</t>
        </is>
      </c>
      <c r="F97" s="89" t="n">
        <v>42054</v>
      </c>
      <c r="G97" s="89" t="inlineStr">
        <is>
          <t>부산광역시 부산진구 중앙대로666번길 50 , B동 601호 (부전동,더샵센트럴스타)</t>
        </is>
      </c>
      <c r="H97" s="89" t="inlineStr">
        <is>
          <t>탁진욱</t>
        </is>
      </c>
      <c r="I97" s="89" t="inlineStr">
        <is>
          <t>성정숙</t>
        </is>
      </c>
      <c r="J97" s="89" t="inlineStr">
        <is>
          <t>010-4035-0417</t>
        </is>
      </c>
      <c r="K97" s="89" t="inlineStr">
        <is>
          <t>010-2532-1812</t>
        </is>
      </c>
      <c r="L97" s="89" t="inlineStr">
        <is>
          <t>1-2 탁혜안</t>
        </is>
      </c>
      <c r="M97" s="89" t="inlineStr">
        <is>
          <t>6호</t>
        </is>
      </c>
    </row>
    <row r="98">
      <c r="A98" s="89" t="n">
        <v>34</v>
      </c>
      <c r="B98" s="89">
        <f>_xlfn.TEXTJOIN(,,A98,D98)</f>
        <v/>
      </c>
      <c r="C98" s="89" t="n">
        <v>1</v>
      </c>
      <c r="D98" s="89">
        <f>IF(LEN(C98)=1,_xlfn.TEXTJOIN(,,0,C98),C98)</f>
        <v/>
      </c>
      <c r="E98" s="89" t="inlineStr">
        <is>
          <t>김지호</t>
        </is>
      </c>
      <c r="F98" s="89" t="n">
        <v>42167</v>
      </c>
      <c r="G98" s="89" t="inlineStr">
        <is>
          <t>부산 동구 자성로116번길 2 (두산위브포세이돈Ⅱ) 101동 1201호</t>
        </is>
      </c>
      <c r="H98" s="89" t="inlineStr">
        <is>
          <t>김정수</t>
        </is>
      </c>
      <c r="I98" s="89" t="inlineStr">
        <is>
          <t>박나진</t>
        </is>
      </c>
      <c r="J98" s="89" t="inlineStr">
        <is>
          <t>010-8980-0029</t>
        </is>
      </c>
      <c r="K98" s="89" t="inlineStr">
        <is>
          <t>010-9248-0666</t>
        </is>
      </c>
      <c r="M98" s="89" t="inlineStr">
        <is>
          <t>2호</t>
        </is>
      </c>
    </row>
    <row r="99">
      <c r="A99" s="89" t="n">
        <v>34</v>
      </c>
      <c r="B99" s="89">
        <f>_xlfn.TEXTJOIN(,,A99,D99)</f>
        <v/>
      </c>
      <c r="C99" s="89" t="n">
        <v>2</v>
      </c>
      <c r="D99" s="89">
        <f>IF(LEN(C99)=1,_xlfn.TEXTJOIN(,,0,C99),C99)</f>
        <v/>
      </c>
      <c r="E99" s="89" t="inlineStr">
        <is>
          <t>김태민</t>
        </is>
      </c>
      <c r="F99" s="89" t="n">
        <v>42145</v>
      </c>
      <c r="G99" s="89" t="inlineStr">
        <is>
          <t>부산 부산진구 가야대로 538 가야롯데캐슬골드아너 105동 1702호</t>
        </is>
      </c>
      <c r="H99" s="89" t="inlineStr">
        <is>
          <t>김대성</t>
        </is>
      </c>
      <c r="I99" s="89" t="inlineStr">
        <is>
          <t>정진희</t>
        </is>
      </c>
      <c r="J99" s="89" t="inlineStr">
        <is>
          <t>010-8768-7279</t>
        </is>
      </c>
      <c r="K99" s="89" t="inlineStr">
        <is>
          <t>010-8549-1221</t>
        </is>
      </c>
      <c r="M99" s="89" t="inlineStr">
        <is>
          <t>15호</t>
        </is>
      </c>
    </row>
    <row r="100">
      <c r="A100" s="89" t="n">
        <v>34</v>
      </c>
      <c r="B100" s="89">
        <f>_xlfn.TEXTJOIN(,,A100,D100)</f>
        <v/>
      </c>
      <c r="C100" s="89" t="n">
        <v>3</v>
      </c>
      <c r="D100" s="89">
        <f>IF(LEN(C100)=1,_xlfn.TEXTJOIN(,,0,C100),C100)</f>
        <v/>
      </c>
      <c r="E100" s="89" t="inlineStr">
        <is>
          <t>김태준</t>
        </is>
      </c>
      <c r="F100" s="89" t="n">
        <v>42254</v>
      </c>
      <c r="G100" s="89" t="inlineStr">
        <is>
          <t>부산진구 가야대로 538 가야롯데캐슬골드아너 105동 1702호</t>
        </is>
      </c>
      <c r="H100" s="89" t="inlineStr">
        <is>
          <t>김수빈</t>
        </is>
      </c>
      <c r="I100" s="89" t="inlineStr">
        <is>
          <t>조혜인</t>
        </is>
      </c>
      <c r="J100" s="89" t="inlineStr">
        <is>
          <t>010-2319-0031</t>
        </is>
      </c>
      <c r="K100" s="89" t="inlineStr">
        <is>
          <t>010-4809-1120</t>
        </is>
      </c>
      <c r="M100" s="89" t="inlineStr">
        <is>
          <t>13-1호</t>
        </is>
      </c>
    </row>
    <row r="101">
      <c r="A101" s="89" t="n">
        <v>34</v>
      </c>
      <c r="B101" s="89">
        <f>_xlfn.TEXTJOIN(,,A101,D101)</f>
        <v/>
      </c>
      <c r="C101" s="89" t="n">
        <v>4</v>
      </c>
      <c r="D101" s="89">
        <f>IF(LEN(C101)=1,_xlfn.TEXTJOIN(,,0,C101),C101)</f>
        <v/>
      </c>
      <c r="E101" s="89" t="inlineStr">
        <is>
          <t>박동수</t>
        </is>
      </c>
      <c r="F101" s="89" t="n">
        <v>42344</v>
      </c>
      <c r="G101" s="89" t="inlineStr">
        <is>
          <t>연제구 아시아드대로7 쌍용더플래티넘 거제아시아드 102동 602호</t>
        </is>
      </c>
      <c r="H101" s="89" t="inlineStr">
        <is>
          <t>박창준</t>
        </is>
      </c>
      <c r="I101" s="89" t="inlineStr">
        <is>
          <t>양다해</t>
        </is>
      </c>
      <c r="J101" s="89" t="inlineStr">
        <is>
          <t>010-3856-5219</t>
        </is>
      </c>
      <c r="K101" s="89" t="inlineStr">
        <is>
          <t>010-5489-5219</t>
        </is>
      </c>
      <c r="M101" s="89" t="inlineStr">
        <is>
          <t>14호</t>
        </is>
      </c>
    </row>
    <row r="102">
      <c r="A102" s="89" t="n">
        <v>34</v>
      </c>
      <c r="B102" s="89">
        <f>_xlfn.TEXTJOIN(,,A102,D102)</f>
        <v/>
      </c>
      <c r="C102" s="89" t="n">
        <v>5</v>
      </c>
      <c r="D102" s="89">
        <f>IF(LEN(C102)=1,_xlfn.TEXTJOIN(,,0,C102),C102)</f>
        <v/>
      </c>
      <c r="E102" s="89" t="inlineStr">
        <is>
          <t>손이한</t>
        </is>
      </c>
      <c r="F102" s="89" t="n">
        <v>42273</v>
      </c>
      <c r="G102" s="89" t="inlineStr">
        <is>
          <t>부산 연제구 연제로 30 (시청역 비스타 동원) 102동 3102호</t>
        </is>
      </c>
      <c r="H102" s="89" t="inlineStr">
        <is>
          <t>손태영</t>
        </is>
      </c>
      <c r="I102" s="89" t="inlineStr">
        <is>
          <t>권주영</t>
        </is>
      </c>
      <c r="J102" s="89" t="inlineStr">
        <is>
          <t>010-5408-5352</t>
        </is>
      </c>
      <c r="K102" s="89" t="inlineStr">
        <is>
          <t>010-3828-1868</t>
        </is>
      </c>
      <c r="M102" s="89" t="inlineStr">
        <is>
          <t>14호</t>
        </is>
      </c>
    </row>
    <row r="103">
      <c r="A103" s="89" t="n">
        <v>34</v>
      </c>
      <c r="B103" s="89">
        <f>_xlfn.TEXTJOIN(,,A103,D103)</f>
        <v/>
      </c>
      <c r="C103" s="89" t="n">
        <v>6</v>
      </c>
      <c r="D103" s="89">
        <f>IF(LEN(C103)=1,_xlfn.TEXTJOIN(,,0,C103),C103)</f>
        <v/>
      </c>
      <c r="E103" s="89" t="inlineStr">
        <is>
          <t>안이수</t>
        </is>
      </c>
      <c r="F103" s="89" t="n">
        <v>42297</v>
      </c>
      <c r="G103" s="89" t="inlineStr">
        <is>
          <t>부산 남구 수영로 135 (대연롯데캐슬레전드) 119동 203호</t>
        </is>
      </c>
      <c r="H103" s="89" t="inlineStr">
        <is>
          <t>안경용</t>
        </is>
      </c>
      <c r="I103" s="89" t="inlineStr">
        <is>
          <t>조덕현</t>
        </is>
      </c>
      <c r="J103" s="89" t="inlineStr">
        <is>
          <t>010-3477-5210</t>
        </is>
      </c>
      <c r="K103" s="89" t="inlineStr">
        <is>
          <t>010-4255-5210</t>
        </is>
      </c>
      <c r="M103" s="89" t="inlineStr">
        <is>
          <t>5호</t>
        </is>
      </c>
    </row>
    <row r="104">
      <c r="A104" s="89" t="n">
        <v>34</v>
      </c>
      <c r="B104" s="89">
        <f>_xlfn.TEXTJOIN(,,A104,D104)</f>
        <v/>
      </c>
      <c r="C104" s="89" t="n">
        <v>7</v>
      </c>
      <c r="D104" s="89">
        <f>IF(LEN(C104)=1,_xlfn.TEXTJOIN(,,0,C104),C104)</f>
        <v/>
      </c>
      <c r="E104" s="89" t="inlineStr">
        <is>
          <t>양리안</t>
        </is>
      </c>
      <c r="F104" s="89" t="n">
        <v>42023</v>
      </c>
      <c r="G104" s="89" t="inlineStr">
        <is>
          <t>부산 해운대구 마린시티2로 33 (해운대두산위브더제니스) 102동 1309호</t>
        </is>
      </c>
      <c r="H104" s="89" t="inlineStr">
        <is>
          <t>양기준</t>
        </is>
      </c>
      <c r="I104" s="89" t="inlineStr">
        <is>
          <t>조보람</t>
        </is>
      </c>
      <c r="J104" s="89" t="inlineStr">
        <is>
          <t>010-2061-4718</t>
        </is>
      </c>
      <c r="K104" s="89" t="inlineStr">
        <is>
          <t>010-7611-6006</t>
        </is>
      </c>
      <c r="M104" s="89" t="inlineStr">
        <is>
          <t>6호</t>
        </is>
      </c>
    </row>
    <row r="105">
      <c r="A105" s="89" t="n">
        <v>34</v>
      </c>
      <c r="B105" s="89">
        <f>_xlfn.TEXTJOIN(,,A105,D105)</f>
        <v/>
      </c>
      <c r="C105" s="89" t="n">
        <v>8</v>
      </c>
      <c r="D105" s="89">
        <f>IF(LEN(C105)=1,_xlfn.TEXTJOIN(,,0,C105),C105)</f>
        <v/>
      </c>
      <c r="E105" s="89" t="inlineStr">
        <is>
          <t>양시윤</t>
        </is>
      </c>
      <c r="F105" s="89" t="n">
        <v>42037</v>
      </c>
      <c r="G105" s="89" t="inlineStr">
        <is>
          <t>부산 남구 신선로 566 (GS하이츠자이) 302동 802호</t>
        </is>
      </c>
      <c r="H105" s="89" t="inlineStr">
        <is>
          <t>양우성</t>
        </is>
      </c>
      <c r="I105" s="89" t="inlineStr">
        <is>
          <t>박빈채</t>
        </is>
      </c>
      <c r="J105" s="89" t="inlineStr">
        <is>
          <t>010-2619-9753</t>
        </is>
      </c>
      <c r="K105" s="89" t="inlineStr">
        <is>
          <t>010-4844-1987</t>
        </is>
      </c>
      <c r="L105" s="89" t="inlineStr">
        <is>
          <t>3-4 양재윤</t>
        </is>
      </c>
      <c r="M105" s="89" t="inlineStr">
        <is>
          <t>6호</t>
        </is>
      </c>
    </row>
    <row r="106">
      <c r="A106" s="89" t="n">
        <v>34</v>
      </c>
      <c r="B106" s="89">
        <f>_xlfn.TEXTJOIN(,,A106,D106)</f>
        <v/>
      </c>
      <c r="C106" s="89" t="n">
        <v>9</v>
      </c>
      <c r="D106" s="89">
        <f>IF(LEN(C106)=1,_xlfn.TEXTJOIN(,,0,C106),C106)</f>
        <v/>
      </c>
      <c r="E106" s="89" t="inlineStr">
        <is>
          <t>양재윤</t>
        </is>
      </c>
      <c r="F106" s="89" t="n">
        <v>42037</v>
      </c>
      <c r="G106" s="89" t="inlineStr">
        <is>
          <t>부산 남구 신선로 566 (GS하이츠자이) 302동 802호</t>
        </is>
      </c>
      <c r="H106" s="89" t="inlineStr">
        <is>
          <t>양우성</t>
        </is>
      </c>
      <c r="I106" s="89" t="inlineStr">
        <is>
          <t>박빈채</t>
        </is>
      </c>
      <c r="J106" s="89" t="inlineStr">
        <is>
          <t>010-2619-9753</t>
        </is>
      </c>
      <c r="K106" s="89" t="inlineStr">
        <is>
          <t>010-4844-1987</t>
        </is>
      </c>
      <c r="L106" s="89" t="inlineStr">
        <is>
          <t>3-4 양시윤</t>
        </is>
      </c>
      <c r="M106" s="89" t="inlineStr">
        <is>
          <t>2호</t>
        </is>
      </c>
    </row>
    <row r="107">
      <c r="A107" s="89" t="n">
        <v>34</v>
      </c>
      <c r="B107" s="89">
        <f>_xlfn.TEXTJOIN(,,A107,D107)</f>
        <v/>
      </c>
      <c r="C107" s="89" t="n">
        <v>10</v>
      </c>
      <c r="D107" s="89">
        <f>IF(LEN(C107)=1,_xlfn.TEXTJOIN(,,0,C107),C107)</f>
        <v/>
      </c>
      <c r="E107" s="89" t="inlineStr">
        <is>
          <t>이승현</t>
        </is>
      </c>
      <c r="F107" s="89" t="n">
        <v>42195</v>
      </c>
      <c r="G107" s="89" t="inlineStr">
        <is>
          <t>부산 해운대구 중동2로34번길 15 (롯데캐슬스타) 101동2804호</t>
        </is>
      </c>
      <c r="H107" s="89" t="inlineStr">
        <is>
          <t>이기동</t>
        </is>
      </c>
      <c r="I107" s="89" t="inlineStr">
        <is>
          <t>배서우</t>
        </is>
      </c>
      <c r="J107" s="89" t="inlineStr">
        <is>
          <t>010-9048-6764</t>
        </is>
      </c>
      <c r="K107" s="89" t="inlineStr">
        <is>
          <t>010-8507-0700</t>
        </is>
      </c>
      <c r="L107" s="89" t="inlineStr"/>
      <c r="M107" s="89" t="inlineStr">
        <is>
          <t>11-1호</t>
        </is>
      </c>
    </row>
    <row r="108">
      <c r="A108" s="89" t="n">
        <v>34</v>
      </c>
      <c r="B108" s="89">
        <f>_xlfn.TEXTJOIN(,,A108,D108)</f>
        <v/>
      </c>
      <c r="C108" s="89" t="n">
        <v>11</v>
      </c>
      <c r="D108" s="89">
        <f>IF(LEN(C108)=1,_xlfn.TEXTJOIN(,,0,C108),C108)</f>
        <v/>
      </c>
      <c r="E108" s="89" t="inlineStr">
        <is>
          <t>이윤승</t>
        </is>
      </c>
      <c r="F108" s="89" t="n">
        <v>42201</v>
      </c>
      <c r="G108" s="89" t="inlineStr">
        <is>
          <t>부산 남구 수영로 135 (대연롯데캐슬레전드) 105동 101호</t>
        </is>
      </c>
      <c r="H108" s="89" t="inlineStr">
        <is>
          <t>이원각</t>
        </is>
      </c>
      <c r="I108" s="89" t="inlineStr">
        <is>
          <t>민슬기</t>
        </is>
      </c>
      <c r="J108" s="89" t="inlineStr">
        <is>
          <t>010-8764-0414</t>
        </is>
      </c>
      <c r="K108" s="89" t="inlineStr">
        <is>
          <t>010-6649-0324</t>
        </is>
      </c>
      <c r="M108" s="89" t="inlineStr">
        <is>
          <t>2호</t>
        </is>
      </c>
    </row>
    <row r="109">
      <c r="A109" s="89" t="n">
        <v>34</v>
      </c>
      <c r="B109" s="89">
        <f>_xlfn.TEXTJOIN(,,A109,D109)</f>
        <v/>
      </c>
      <c r="C109" s="89" t="n">
        <v>12</v>
      </c>
      <c r="D109" s="89">
        <f>IF(LEN(C109)=1,_xlfn.TEXTJOIN(,,0,C109),C109)</f>
        <v/>
      </c>
      <c r="E109" s="89" t="inlineStr">
        <is>
          <t>이준영</t>
        </is>
      </c>
      <c r="F109" s="89" t="n">
        <v>42191</v>
      </c>
      <c r="G109" s="89" t="inlineStr">
        <is>
          <t>부산 해운대구 해운대로483번길 10 (롯데아파트) 6동 1104호</t>
        </is>
      </c>
      <c r="H109" s="89" t="inlineStr">
        <is>
          <t>이현곤</t>
        </is>
      </c>
      <c r="I109" s="89" t="inlineStr">
        <is>
          <t>이유진</t>
        </is>
      </c>
      <c r="J109" s="89" t="inlineStr">
        <is>
          <t>010-2650-3318</t>
        </is>
      </c>
      <c r="K109" s="89" t="inlineStr">
        <is>
          <t>010-3806-3041</t>
        </is>
      </c>
      <c r="L109" s="89" t="inlineStr">
        <is>
          <t>1-4 이가영</t>
        </is>
      </c>
      <c r="M109" s="89" t="inlineStr">
        <is>
          <t>8호</t>
        </is>
      </c>
    </row>
    <row r="110">
      <c r="A110" s="89" t="n">
        <v>34</v>
      </c>
      <c r="B110" s="89">
        <f>_xlfn.TEXTJOIN(,,A110,D110)</f>
        <v/>
      </c>
      <c r="C110" s="89" t="n">
        <v>13</v>
      </c>
      <c r="D110" s="89">
        <f>IF(LEN(C110)=1,_xlfn.TEXTJOIN(,,0,C110),C110)</f>
        <v/>
      </c>
      <c r="E110" s="89" t="inlineStr">
        <is>
          <t>임서준</t>
        </is>
      </c>
      <c r="F110" s="89" t="n">
        <v>42009</v>
      </c>
      <c r="G110" s="89" t="inlineStr">
        <is>
          <t>부산 수영구 남천동로46 남천자이 103동 1205호</t>
        </is>
      </c>
      <c r="H110" s="89" t="inlineStr">
        <is>
          <t>임경환</t>
        </is>
      </c>
      <c r="I110" s="89" t="inlineStr">
        <is>
          <t>최윤희</t>
        </is>
      </c>
      <c r="J110" s="89" t="inlineStr">
        <is>
          <t>010-5135-4535</t>
        </is>
      </c>
      <c r="K110" s="89" t="inlineStr">
        <is>
          <t>010-9314-8549</t>
        </is>
      </c>
      <c r="L110" s="89" t="inlineStr"/>
      <c r="M110" s="89" t="inlineStr">
        <is>
          <t>6호</t>
        </is>
      </c>
    </row>
    <row r="111">
      <c r="A111" s="89" t="n">
        <v>34</v>
      </c>
      <c r="B111" s="89">
        <f>_xlfn.TEXTJOIN(,,A111,D111)</f>
        <v/>
      </c>
      <c r="C111" s="89" t="n">
        <v>14</v>
      </c>
      <c r="D111" s="89">
        <f>IF(LEN(C111)=1,_xlfn.TEXTJOIN(,,0,C111),C111)</f>
        <v/>
      </c>
      <c r="E111" s="89" t="inlineStr">
        <is>
          <t>정지훈</t>
        </is>
      </c>
      <c r="F111" s="89" t="n">
        <v>42150</v>
      </c>
      <c r="G111" s="89" t="inlineStr">
        <is>
          <t>부산광역시 남구 분포로 145 (용호동, 더블유) c동 4401호</t>
        </is>
      </c>
      <c r="H111" s="89" t="inlineStr">
        <is>
          <t>정영근</t>
        </is>
      </c>
      <c r="I111" s="89" t="inlineStr">
        <is>
          <t>김근영</t>
        </is>
      </c>
      <c r="J111" s="89" t="inlineStr">
        <is>
          <t>010-2511-5146</t>
        </is>
      </c>
      <c r="K111" s="89" t="inlineStr">
        <is>
          <t>010-8514-4720</t>
        </is>
      </c>
      <c r="L111" s="89" t="inlineStr"/>
      <c r="M111" s="89" t="inlineStr">
        <is>
          <t>6호</t>
        </is>
      </c>
    </row>
    <row r="112">
      <c r="A112" s="89" t="n">
        <v>34</v>
      </c>
      <c r="B112" s="89">
        <f>_xlfn.TEXTJOIN(,,A112,D112)</f>
        <v/>
      </c>
      <c r="C112" s="89" t="n">
        <v>15</v>
      </c>
      <c r="D112" s="89">
        <f>IF(LEN(C112)=1,_xlfn.TEXTJOIN(,,0,C112),C112)</f>
        <v/>
      </c>
      <c r="E112" s="89" t="inlineStr">
        <is>
          <t>최은우</t>
        </is>
      </c>
      <c r="F112" s="89" t="n">
        <v>42341</v>
      </c>
      <c r="G112" s="89" t="inlineStr">
        <is>
          <t>부산시 부산진구 중앙대로666번길 50, 더샵센트럴스타 D동 503호</t>
        </is>
      </c>
      <c r="H112" s="89" t="inlineStr">
        <is>
          <t>최상영</t>
        </is>
      </c>
      <c r="I112" s="89" t="inlineStr">
        <is>
          <t>김민경</t>
        </is>
      </c>
      <c r="J112" s="89" t="inlineStr">
        <is>
          <t>010-8395-9111</t>
        </is>
      </c>
      <c r="K112" s="89" t="inlineStr">
        <is>
          <t>010-8139-9111</t>
        </is>
      </c>
      <c r="L112" s="89" t="inlineStr">
        <is>
          <t>1-3 최정우</t>
        </is>
      </c>
      <c r="M112" s="89" t="inlineStr">
        <is>
          <t>7호</t>
        </is>
      </c>
    </row>
    <row r="113">
      <c r="A113" s="89" t="n">
        <v>34</v>
      </c>
      <c r="B113" s="89">
        <f>_xlfn.TEXTJOIN(,,A113,D113)</f>
        <v/>
      </c>
      <c r="C113" s="89" t="n">
        <v>16</v>
      </c>
      <c r="D113" s="89">
        <f>IF(LEN(C113)=1,_xlfn.TEXTJOIN(,,0,C113),C113)</f>
        <v/>
      </c>
      <c r="E113" s="89" t="inlineStr">
        <is>
          <t>최준호</t>
        </is>
      </c>
      <c r="F113" s="89" t="n">
        <v>42094</v>
      </c>
      <c r="G113" s="89" t="inlineStr">
        <is>
          <t>부산 남구 수영로345 (대연힐스테이트푸르지오)103동1804호</t>
        </is>
      </c>
      <c r="H113" s="89" t="inlineStr">
        <is>
          <t>최대성</t>
        </is>
      </c>
      <c r="I113" s="89" t="inlineStr">
        <is>
          <t>전보현</t>
        </is>
      </c>
      <c r="J113" s="89" t="inlineStr">
        <is>
          <t>010-4005-7367</t>
        </is>
      </c>
      <c r="K113" s="89" t="inlineStr">
        <is>
          <t>010-3360-8541</t>
        </is>
      </c>
      <c r="L113" s="89" t="inlineStr"/>
      <c r="M113" s="89" t="inlineStr">
        <is>
          <t>1호</t>
        </is>
      </c>
    </row>
    <row r="114">
      <c r="A114" s="89" t="n">
        <v>34</v>
      </c>
      <c r="B114" s="89">
        <f>_xlfn.TEXTJOIN(,,A114,D114)</f>
        <v/>
      </c>
      <c r="C114" s="89" t="n">
        <v>17</v>
      </c>
      <c r="D114" s="89">
        <f>IF(LEN(C114)=1,_xlfn.TEXTJOIN(,,0,C114),C114)</f>
        <v/>
      </c>
      <c r="E114" s="89" t="inlineStr">
        <is>
          <t>최호은</t>
        </is>
      </c>
      <c r="F114" s="89" t="n">
        <v>42065</v>
      </c>
      <c r="G114" s="89" t="inlineStr">
        <is>
          <t>부산 해운대구 마린시티2로 33 (해운대두산위브더제니스) 103동 4107호</t>
        </is>
      </c>
      <c r="H114" s="89" t="inlineStr">
        <is>
          <t>최현욱</t>
        </is>
      </c>
      <c r="I114" s="89" t="inlineStr">
        <is>
          <t>이윤정</t>
        </is>
      </c>
      <c r="J114" s="89" t="inlineStr">
        <is>
          <t>010-8530-1320</t>
        </is>
      </c>
      <c r="K114" s="89" t="inlineStr">
        <is>
          <t>010-3334-1320</t>
        </is>
      </c>
      <c r="L114" s="89" t="inlineStr">
        <is>
          <t>1-1 최유이</t>
        </is>
      </c>
      <c r="M114" s="89" t="inlineStr">
        <is>
          <t>1호</t>
        </is>
      </c>
    </row>
    <row r="115">
      <c r="A115" s="89" t="n">
        <v>34</v>
      </c>
      <c r="B115" s="89">
        <f>_xlfn.TEXTJOIN(,,A115,D115)</f>
        <v/>
      </c>
      <c r="C115" s="89" t="n">
        <v>18</v>
      </c>
      <c r="D115" s="89">
        <f>IF(LEN(C115)=1,_xlfn.TEXTJOIN(,,0,C115),C115)</f>
        <v/>
      </c>
      <c r="E115" s="89" t="inlineStr">
        <is>
          <t>윤재이</t>
        </is>
      </c>
      <c r="F115" s="89" t="n">
        <v>42188</v>
      </c>
      <c r="G115" s="89" t="inlineStr">
        <is>
          <t>부산 해운대구 마린시티2로 33 (해운대두산위브더제니스) 102동 609호</t>
        </is>
      </c>
      <c r="H115" s="89" t="inlineStr">
        <is>
          <t>윤호영</t>
        </is>
      </c>
      <c r="I115" s="89" t="inlineStr">
        <is>
          <t>조정현</t>
        </is>
      </c>
      <c r="J115" s="89" t="inlineStr">
        <is>
          <t>010-8538-9344</t>
        </is>
      </c>
      <c r="K115" s="89" t="inlineStr">
        <is>
          <t>010-4104-4965</t>
        </is>
      </c>
      <c r="L115" s="89" t="inlineStr"/>
      <c r="M115" s="89" t="inlineStr">
        <is>
          <t>1호</t>
        </is>
      </c>
    </row>
    <row r="116">
      <c r="A116" s="89" t="n">
        <v>34</v>
      </c>
      <c r="B116" s="89">
        <f>_xlfn.TEXTJOIN(,,A116,D116)</f>
        <v/>
      </c>
      <c r="C116" s="89" t="n">
        <v>41</v>
      </c>
      <c r="D116" s="89">
        <f>IF(LEN(C116)=1,_xlfn.TEXTJOIN(,,0,C116),C116)</f>
        <v/>
      </c>
      <c r="E116" s="89" t="inlineStr">
        <is>
          <t>김민영</t>
        </is>
      </c>
      <c r="F116" s="89" t="n">
        <v>42366</v>
      </c>
      <c r="G116" s="89" t="inlineStr">
        <is>
          <t>부산 해운대구 마린시티2로 38 (해운대아이파크) T3동 905호</t>
        </is>
      </c>
      <c r="H116" s="89" t="inlineStr">
        <is>
          <t>김대호</t>
        </is>
      </c>
      <c r="J116" s="89" t="inlineStr">
        <is>
          <t>010-7919-3318</t>
        </is>
      </c>
      <c r="K116" s="89" t="inlineStr">
        <is>
          <t>010-7919-3318</t>
        </is>
      </c>
      <c r="L116" s="89" t="inlineStr">
        <is>
          <t>6-2 김지유</t>
        </is>
      </c>
      <c r="M116" s="89" t="inlineStr">
        <is>
          <t>5호</t>
        </is>
      </c>
    </row>
    <row r="117">
      <c r="A117" s="89" t="n">
        <v>34</v>
      </c>
      <c r="B117" s="89">
        <f>_xlfn.TEXTJOIN(,,A117,D117)</f>
        <v/>
      </c>
      <c r="C117" s="89" t="n">
        <v>42</v>
      </c>
      <c r="D117" s="89">
        <f>IF(LEN(C117)=1,_xlfn.TEXTJOIN(,,0,C117),C117)</f>
        <v/>
      </c>
      <c r="E117" s="89" t="inlineStr">
        <is>
          <t>김서은</t>
        </is>
      </c>
      <c r="F117" s="89" t="n">
        <v>42168</v>
      </c>
      <c r="G117" s="89" t="inlineStr">
        <is>
          <t>부산 해운대구 마린시티2로 47 (트럼프월드마린아파트) c동 1203</t>
        </is>
      </c>
      <c r="H117" s="89" t="inlineStr">
        <is>
          <t>김보건</t>
        </is>
      </c>
      <c r="I117" s="89" t="inlineStr">
        <is>
          <t>박유나</t>
        </is>
      </c>
      <c r="J117" s="89" t="inlineStr">
        <is>
          <t>010-9520-0540</t>
        </is>
      </c>
      <c r="K117" s="89" t="inlineStr">
        <is>
          <t>010-3886-4477</t>
        </is>
      </c>
      <c r="M117" s="89" t="inlineStr">
        <is>
          <t>2호</t>
        </is>
      </c>
    </row>
    <row r="118">
      <c r="A118" s="89" t="n">
        <v>34</v>
      </c>
      <c r="B118" s="89">
        <f>_xlfn.TEXTJOIN(,,A118,D118)</f>
        <v/>
      </c>
      <c r="C118" s="89" t="n">
        <v>43</v>
      </c>
      <c r="D118" s="89">
        <f>IF(LEN(C118)=1,_xlfn.TEXTJOIN(,,0,C118),C118)</f>
        <v/>
      </c>
      <c r="E118" s="89" t="inlineStr">
        <is>
          <t>김서인</t>
        </is>
      </c>
      <c r="F118" s="89" t="n">
        <v>42014</v>
      </c>
      <c r="G118" s="89" t="inlineStr">
        <is>
          <t>부산 부산진구 양연로36 양정 포레힐즈 스위첸 107동 1701호</t>
        </is>
      </c>
      <c r="H118" s="89" t="inlineStr">
        <is>
          <t>김우진</t>
        </is>
      </c>
      <c r="I118" s="89" t="inlineStr">
        <is>
          <t>이혜정</t>
        </is>
      </c>
      <c r="J118" s="89" t="inlineStr">
        <is>
          <t>010-5081-4268</t>
        </is>
      </c>
      <c r="K118" s="89" t="inlineStr">
        <is>
          <t>010-6299-6201</t>
        </is>
      </c>
      <c r="M118" s="89" t="inlineStr">
        <is>
          <t>개별</t>
        </is>
      </c>
    </row>
    <row r="119">
      <c r="A119" s="89" t="n">
        <v>34</v>
      </c>
      <c r="B119" s="89">
        <f>_xlfn.TEXTJOIN(,,A119,D119)</f>
        <v/>
      </c>
      <c r="C119" s="89" t="n">
        <v>44</v>
      </c>
      <c r="D119" s="89">
        <f>IF(LEN(C119)=1,_xlfn.TEXTJOIN(,,0,C119),C119)</f>
        <v/>
      </c>
      <c r="E119" s="89" t="inlineStr">
        <is>
          <t>김세은</t>
        </is>
      </c>
      <c r="F119" s="89" t="n">
        <v>42228</v>
      </c>
      <c r="G119" s="89" t="inlineStr">
        <is>
          <t>부산 연제구 반송로 40 (e편한세상 연산 더퍼스트) 104동 901호</t>
        </is>
      </c>
      <c r="H119" s="89" t="inlineStr">
        <is>
          <t>김판석</t>
        </is>
      </c>
      <c r="I119" s="89" t="inlineStr">
        <is>
          <t>황순정</t>
        </is>
      </c>
      <c r="J119" s="89" t="inlineStr">
        <is>
          <t>010-9773-4565</t>
        </is>
      </c>
      <c r="K119" s="89" t="inlineStr">
        <is>
          <t>010-5336-6528</t>
        </is>
      </c>
      <c r="M119" s="89" t="inlineStr">
        <is>
          <t>14호</t>
        </is>
      </c>
    </row>
    <row r="120">
      <c r="A120" s="89" t="n">
        <v>34</v>
      </c>
      <c r="B120" s="89">
        <f>_xlfn.TEXTJOIN(,,A120,D120)</f>
        <v/>
      </c>
      <c r="C120" s="89" t="n">
        <v>45</v>
      </c>
      <c r="D120" s="89">
        <f>IF(LEN(C120)=1,_xlfn.TEXTJOIN(,,0,C120),C120)</f>
        <v/>
      </c>
      <c r="E120" s="89" t="inlineStr">
        <is>
          <t>노서윤</t>
        </is>
      </c>
      <c r="F120" s="89" t="n">
        <v>42074</v>
      </c>
      <c r="G120" s="89" t="inlineStr">
        <is>
          <t>부산 동구 자성로133번길 46 (봄여름가을겨울 아파트) 1603호</t>
        </is>
      </c>
      <c r="H120" s="89" t="inlineStr">
        <is>
          <t>노경림</t>
        </is>
      </c>
      <c r="I120" s="89" t="inlineStr">
        <is>
          <t>김가령</t>
        </is>
      </c>
      <c r="J120" s="89" t="inlineStr">
        <is>
          <t>010-2265-0796</t>
        </is>
      </c>
      <c r="K120" s="89" t="inlineStr">
        <is>
          <t>010-5407-0796</t>
        </is>
      </c>
      <c r="L120" s="89" t="inlineStr">
        <is>
          <t>6- 2노강현</t>
        </is>
      </c>
      <c r="M120" s="89" t="inlineStr">
        <is>
          <t>7호</t>
        </is>
      </c>
    </row>
    <row r="121">
      <c r="A121" s="89" t="n">
        <v>34</v>
      </c>
      <c r="B121" s="89">
        <f>_xlfn.TEXTJOIN(,,A121,D121)</f>
        <v/>
      </c>
      <c r="C121" s="89" t="n">
        <v>46</v>
      </c>
      <c r="D121" s="89">
        <f>IF(LEN(C121)=1,_xlfn.TEXTJOIN(,,0,C121),C121)</f>
        <v/>
      </c>
      <c r="E121" s="89" t="inlineStr">
        <is>
          <t>오채희</t>
        </is>
      </c>
      <c r="F121" s="89" t="n">
        <v>42263</v>
      </c>
      <c r="G121" s="89" t="inlineStr">
        <is>
          <t>부산 해운대구 달맞이길117번가길 107-40 (라임파크) 101호</t>
        </is>
      </c>
      <c r="H121" s="89" t="inlineStr">
        <is>
          <t>오철석</t>
        </is>
      </c>
      <c r="I121" s="89" t="inlineStr">
        <is>
          <t>김주현</t>
        </is>
      </c>
      <c r="J121" s="89" t="inlineStr">
        <is>
          <t>010-9335-3726</t>
        </is>
      </c>
      <c r="K121" s="89" t="inlineStr">
        <is>
          <t>010-8549-3223</t>
        </is>
      </c>
      <c r="M121" s="89" t="inlineStr">
        <is>
          <t>2호</t>
        </is>
      </c>
    </row>
    <row r="122">
      <c r="A122" s="89" t="n">
        <v>34</v>
      </c>
      <c r="B122" s="89">
        <f>_xlfn.TEXTJOIN(,,A122,D122)</f>
        <v/>
      </c>
      <c r="C122" s="89" t="n">
        <v>47</v>
      </c>
      <c r="D122" s="89">
        <f>IF(LEN(C122)=1,_xlfn.TEXTJOIN(,,0,C122),C122)</f>
        <v/>
      </c>
      <c r="E122" s="89" t="inlineStr">
        <is>
          <t>이봄</t>
        </is>
      </c>
      <c r="F122" s="89" t="n">
        <v>42041</v>
      </c>
      <c r="G122" s="89" t="inlineStr">
        <is>
          <t>부산광역시 동래구 사직로 8 101동 203호</t>
        </is>
      </c>
      <c r="H122" s="89" t="inlineStr">
        <is>
          <t>이재일</t>
        </is>
      </c>
      <c r="I122" s="89" t="inlineStr">
        <is>
          <t>김예슬</t>
        </is>
      </c>
      <c r="J122" s="89" t="inlineStr">
        <is>
          <t>010-9091-1481</t>
        </is>
      </c>
      <c r="K122" s="89" t="inlineStr">
        <is>
          <t>010-9498-7140</t>
        </is>
      </c>
      <c r="M122" s="89" t="inlineStr">
        <is>
          <t>13호</t>
        </is>
      </c>
    </row>
    <row r="123">
      <c r="A123" s="89" t="n">
        <v>34</v>
      </c>
      <c r="B123" s="89">
        <f>_xlfn.TEXTJOIN(,,A123,D123)</f>
        <v/>
      </c>
      <c r="C123" s="89" t="n">
        <v>48</v>
      </c>
      <c r="D123" s="89">
        <f>IF(LEN(C123)=1,_xlfn.TEXTJOIN(,,0,C123),C123)</f>
        <v/>
      </c>
      <c r="E123" s="89" t="inlineStr">
        <is>
          <t>이서연</t>
        </is>
      </c>
      <c r="F123" s="89" t="n">
        <v>42181</v>
      </c>
      <c r="G123" s="89" t="inlineStr">
        <is>
          <t>부산 남구 분포로 113, 215동 2001호(215동 2001호 LG메트로 아파트)</t>
        </is>
      </c>
      <c r="H123" s="89" t="inlineStr">
        <is>
          <t>이지훈</t>
        </is>
      </c>
      <c r="I123" s="89" t="inlineStr">
        <is>
          <t>최은성</t>
        </is>
      </c>
      <c r="J123" s="89" t="inlineStr">
        <is>
          <t>010-5062-4000</t>
        </is>
      </c>
      <c r="K123" s="89" t="inlineStr">
        <is>
          <t>010-5061-4000</t>
        </is>
      </c>
      <c r="L123" s="89" t="inlineStr">
        <is>
          <t>5-4 이유준</t>
        </is>
      </c>
      <c r="M123" s="89" t="inlineStr">
        <is>
          <t>개별</t>
        </is>
      </c>
    </row>
    <row r="124">
      <c r="A124" s="89" t="n">
        <v>34</v>
      </c>
      <c r="B124" s="89">
        <f>_xlfn.TEXTJOIN(,,A124,D124)</f>
        <v/>
      </c>
      <c r="C124" s="89" t="n">
        <v>49</v>
      </c>
      <c r="D124" s="89">
        <f>IF(LEN(C124)=1,_xlfn.TEXTJOIN(,,0,C124),C124)</f>
        <v/>
      </c>
      <c r="E124" s="89" t="inlineStr">
        <is>
          <t>이예빈</t>
        </is>
      </c>
      <c r="F124" s="89" t="n">
        <v>42027</v>
      </c>
      <c r="G124" s="89" t="inlineStr">
        <is>
          <t>부산 부산진구 거제대로 26 (대원칸타빌멤버스) 101동903호</t>
        </is>
      </c>
      <c r="H124" s="89" t="inlineStr">
        <is>
          <t>이종진</t>
        </is>
      </c>
      <c r="I124" s="89" t="inlineStr">
        <is>
          <t>윤지영</t>
        </is>
      </c>
      <c r="J124" s="89" t="inlineStr">
        <is>
          <t>010-2661-6611</t>
        </is>
      </c>
      <c r="K124" s="89" t="inlineStr">
        <is>
          <t>010-5165-3744</t>
        </is>
      </c>
      <c r="M124" s="89" t="inlineStr">
        <is>
          <t>14호</t>
        </is>
      </c>
    </row>
    <row r="125">
      <c r="A125" s="89" t="n">
        <v>34</v>
      </c>
      <c r="B125" s="89">
        <f>_xlfn.TEXTJOIN(,,A125,D125)</f>
        <v/>
      </c>
      <c r="C125" s="89" t="n">
        <v>50</v>
      </c>
      <c r="D125" s="89">
        <f>IF(LEN(C125)=1,_xlfn.TEXTJOIN(,,0,C125),C125)</f>
        <v/>
      </c>
      <c r="E125" s="89" t="inlineStr">
        <is>
          <t>이지선</t>
        </is>
      </c>
      <c r="F125" s="89" t="n">
        <v>42321</v>
      </c>
      <c r="G125" s="89" t="inlineStr">
        <is>
          <t>부산광역시 남구 분포로 145-0 B동 3201호</t>
        </is>
      </c>
      <c r="H125" s="89" t="inlineStr">
        <is>
          <t>이철민</t>
        </is>
      </c>
      <c r="I125" s="89" t="inlineStr">
        <is>
          <t>김은주</t>
        </is>
      </c>
      <c r="J125" s="89" t="inlineStr">
        <is>
          <t>010-3837-2830</t>
        </is>
      </c>
      <c r="K125" s="89" t="inlineStr">
        <is>
          <t>010-2565-5858</t>
        </is>
      </c>
      <c r="L125" s="89" t="inlineStr">
        <is>
          <t>6-3 이유진</t>
        </is>
      </c>
      <c r="M125" s="89" t="inlineStr">
        <is>
          <t>16호</t>
        </is>
      </c>
    </row>
    <row r="126">
      <c r="A126" s="89" t="n">
        <v>34</v>
      </c>
      <c r="B126" s="89">
        <f>_xlfn.TEXTJOIN(,,A126,D126)</f>
        <v/>
      </c>
      <c r="C126" s="89" t="n">
        <v>51</v>
      </c>
      <c r="D126" s="89">
        <f>IF(LEN(C126)=1,_xlfn.TEXTJOIN(,,0,C126),C126)</f>
        <v/>
      </c>
      <c r="E126" s="89" t="inlineStr">
        <is>
          <t>정다원</t>
        </is>
      </c>
      <c r="F126" s="89" t="n">
        <v>42060</v>
      </c>
      <c r="G126" s="89" t="inlineStr">
        <is>
          <t>부산시 해운대구 센텀중앙로 145, 센텀파크 1차 104동 2004호</t>
        </is>
      </c>
      <c r="H126" s="89" t="inlineStr">
        <is>
          <t>정재민</t>
        </is>
      </c>
      <c r="I126" s="89" t="inlineStr">
        <is>
          <t>채수아</t>
        </is>
      </c>
      <c r="J126" s="89" t="inlineStr">
        <is>
          <t>010-3242-2449</t>
        </is>
      </c>
      <c r="K126" s="89" t="inlineStr">
        <is>
          <t>010-5126-2449</t>
        </is>
      </c>
      <c r="M126" s="89" t="inlineStr">
        <is>
          <t>10호</t>
        </is>
      </c>
    </row>
    <row r="127">
      <c r="A127" s="89" t="n">
        <v>34</v>
      </c>
      <c r="B127" s="89">
        <f>_xlfn.TEXTJOIN(,,A127,D127)</f>
        <v/>
      </c>
      <c r="C127" s="89" t="n">
        <v>52</v>
      </c>
      <c r="D127" s="89">
        <f>IF(LEN(C127)=1,_xlfn.TEXTJOIN(,,0,C127),C127)</f>
        <v/>
      </c>
      <c r="E127" s="89" t="inlineStr">
        <is>
          <t>정제니</t>
        </is>
      </c>
      <c r="F127" s="89" t="n">
        <v>42181</v>
      </c>
      <c r="G127" s="89" t="inlineStr">
        <is>
          <t>부산 연제구 법원북로 16 (거제2차 현대홈타운) 204동 1103호</t>
        </is>
      </c>
      <c r="H127" s="89" t="inlineStr">
        <is>
          <t>정광열</t>
        </is>
      </c>
      <c r="I127" s="89" t="inlineStr">
        <is>
          <t>명세은</t>
        </is>
      </c>
      <c r="J127" s="89" t="inlineStr">
        <is>
          <t>010-9976-0093</t>
        </is>
      </c>
      <c r="K127" s="89" t="inlineStr">
        <is>
          <t>010-7158-7700</t>
        </is>
      </c>
      <c r="M127" s="89" t="inlineStr">
        <is>
          <t>13-1호</t>
        </is>
      </c>
    </row>
    <row r="128">
      <c r="A128" s="89" t="n">
        <v>34</v>
      </c>
      <c r="B128" s="89">
        <f>_xlfn.TEXTJOIN(,,A128,D128)</f>
        <v/>
      </c>
      <c r="C128" s="89" t="n">
        <v>53</v>
      </c>
      <c r="D128" s="89">
        <f>IF(LEN(C128)=1,_xlfn.TEXTJOIN(,,0,C128),C128)</f>
        <v/>
      </c>
      <c r="E128" s="89" t="inlineStr">
        <is>
          <t>최연우</t>
        </is>
      </c>
      <c r="F128" s="89" t="n">
        <v>42322</v>
      </c>
      <c r="G128" s="89" t="inlineStr">
        <is>
          <t xml:space="preserve">부산광역시 해운대구 센텀3로 32(우동) 트럼프월드센텀 2 B동 1402호 </t>
        </is>
      </c>
      <c r="H128" s="89" t="inlineStr">
        <is>
          <t>최정문</t>
        </is>
      </c>
      <c r="I128" s="89" t="inlineStr">
        <is>
          <t>조선경</t>
        </is>
      </c>
      <c r="J128" s="89" t="inlineStr">
        <is>
          <t>010-8945-1197</t>
        </is>
      </c>
      <c r="K128" s="89" t="inlineStr">
        <is>
          <t>010-4358-4588</t>
        </is>
      </c>
      <c r="M128" s="89" t="inlineStr">
        <is>
          <t>3호</t>
        </is>
      </c>
    </row>
    <row r="129">
      <c r="A129" s="89" t="n">
        <v>34</v>
      </c>
      <c r="B129" s="89">
        <f>_xlfn.TEXTJOIN(,,A129,D129)</f>
        <v/>
      </c>
      <c r="C129" s="89" t="n">
        <v>54</v>
      </c>
      <c r="D129" s="89">
        <f>IF(LEN(C129)=1,_xlfn.TEXTJOIN(,,0,C129),C129)</f>
        <v/>
      </c>
      <c r="E129" s="89" t="inlineStr">
        <is>
          <t>최지안</t>
        </is>
      </c>
      <c r="F129" s="89" t="n">
        <v>42230</v>
      </c>
      <c r="G129" s="89" t="inlineStr">
        <is>
          <t>부산광역시 연제구 봉수로 25 (연산동) 연산힐스테이트 205동2604호</t>
        </is>
      </c>
      <c r="H129" s="89" t="inlineStr">
        <is>
          <t>최민호</t>
        </is>
      </c>
      <c r="I129" s="89" t="inlineStr">
        <is>
          <t>이현수</t>
        </is>
      </c>
      <c r="J129" s="89" t="inlineStr">
        <is>
          <t>010-2545-6534</t>
        </is>
      </c>
      <c r="K129" s="89" t="inlineStr">
        <is>
          <t>010-2818-2340</t>
        </is>
      </c>
      <c r="M129" s="89" t="inlineStr">
        <is>
          <t>14호</t>
        </is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</dc:creator>
  <dcterms:created xmlns:dcterms="http://purl.org/dc/terms/" xmlns:xsi="http://www.w3.org/2001/XMLSchema-instance" xsi:type="dcterms:W3CDTF">2024-01-30T01:16:54Z</dcterms:created>
  <dcterms:modified xmlns:dcterms="http://purl.org/dc/terms/" xmlns:xsi="http://www.w3.org/2001/XMLSchema-instance" xsi:type="dcterms:W3CDTF">2026-02-13T15:42:12Z</dcterms:modified>
  <cp:lastModifiedBy>김유하</cp:lastModifiedBy>
</cp:coreProperties>
</file>